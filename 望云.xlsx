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 activeTab="1"/>
  </bookViews>
  <sheets>
    <sheet name="人物卡" sheetId="1" r:id="rId1"/>
    <sheet name="专长和其他文本信息" sheetId="9" r:id="rId2"/>
    <sheet name="意志力与能量池" sheetId="13" r:id="rId3"/>
    <sheet name="攻击预设" sheetId="7" r:id="rId4"/>
    <sheet name="常用检定" sheetId="16" r:id="rId5"/>
    <sheet name="装备位" sheetId="8" r:id="rId6"/>
    <sheet name="购买记录" sheetId="4" r:id="rId7"/>
    <sheet name="成长记录" sheetId="6" r:id="rId8"/>
    <sheet name="主动技能与书签整备" sheetId="15" r:id="rId9"/>
    <sheet name="天赋、缺陷和怪癖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<sst xmlns="http://schemas.openxmlformats.org/spreadsheetml/2006/main" count="2423" uniqueCount="383">
  <si>
    <t>概念段</t>
  </si>
  <si>
    <t>空白卡作者</t>
  </si>
  <si>
    <t>不咕鸟</t>
  </si>
  <si>
    <t>联系方式</t>
  </si>
  <si>
    <t>QQ：1724745789</t>
  </si>
  <si>
    <t>姓名</t>
  </si>
  <si>
    <t>望云</t>
  </si>
  <si>
    <t>性别</t>
  </si>
  <si>
    <t>男</t>
  </si>
  <si>
    <t>我出生在修仙世家，自幼因先天道体而被收入太玄门，天赋惊人，以雷法练气，因灵气逐渐凋零，而无法筑基，特此寻找其他方法</t>
  </si>
  <si>
    <t>人物立绘</t>
  </si>
  <si>
    <t>年龄</t>
  </si>
  <si>
    <t>身高/体重</t>
  </si>
  <si>
    <t>184/65</t>
  </si>
  <si>
    <t>更新记录</t>
  </si>
  <si>
    <t>种族/国籍</t>
  </si>
  <si>
    <t>人</t>
  </si>
  <si>
    <t>语言</t>
  </si>
  <si>
    <t>通用语</t>
  </si>
  <si>
    <t>增加了装备位，增加了检定预设中的其他加值来源</t>
  </si>
  <si>
    <t>住址</t>
  </si>
  <si>
    <t>中国</t>
  </si>
  <si>
    <t>外貌特征</t>
  </si>
  <si>
    <t>飘逸黑发，瘦高帅哥</t>
  </si>
  <si>
    <t>增加了三豁免和特殊防御效果，补充了攻击预设中的附加成功</t>
  </si>
  <si>
    <t>增加了专长段，为部分区域增加了自动换行</t>
  </si>
  <si>
    <t>性格个性</t>
  </si>
  <si>
    <t>冷酷谨慎机智</t>
  </si>
  <si>
    <t>将意志力和能量池单独提出来</t>
  </si>
  <si>
    <t>移除了检定预设，增加书签、天赋、缺陷和怪癖，增加了属性的完美加值</t>
  </si>
  <si>
    <t>属性段</t>
  </si>
  <si>
    <t>核算</t>
  </si>
  <si>
    <t>属性</t>
  </si>
  <si>
    <t>属性总值</t>
  </si>
  <si>
    <t>检定总值</t>
  </si>
  <si>
    <t>传奇</t>
  </si>
  <si>
    <t>基础</t>
  </si>
  <si>
    <t>建卡</t>
  </si>
  <si>
    <t>购买</t>
  </si>
  <si>
    <t>内在</t>
  </si>
  <si>
    <t>修行</t>
  </si>
  <si>
    <t>其他</t>
  </si>
  <si>
    <t>完美</t>
  </si>
  <si>
    <t>检定加值</t>
  </si>
  <si>
    <t>总属性点</t>
  </si>
  <si>
    <t>修订了体型调整值的错误，增加了主动技能和其他文本信息的位置</t>
  </si>
  <si>
    <t>生理</t>
  </si>
  <si>
    <t>力量</t>
  </si>
  <si>
    <t>总技能点</t>
  </si>
  <si>
    <t>敏捷</t>
  </si>
  <si>
    <t>总专长点</t>
  </si>
  <si>
    <t>修订了部分错误，修订了核算，令其更便于理解，增加了范围豁免</t>
  </si>
  <si>
    <t>耐力</t>
  </si>
  <si>
    <t>属性点应为12</t>
  </si>
  <si>
    <t>心智</t>
  </si>
  <si>
    <t>智力</t>
  </si>
  <si>
    <t>技能点应为20，若有特殊身份（2），技能点为22。</t>
  </si>
  <si>
    <t>增加了专长名称，为技能部分重新排版，新增了装备负重计算</t>
  </si>
  <si>
    <t>感知</t>
  </si>
  <si>
    <t>决心</t>
  </si>
  <si>
    <t>属性段修订，将建卡属性与直接购买的属性分开，新增了防御总和。</t>
  </si>
  <si>
    <t>互动</t>
  </si>
  <si>
    <t>风度</t>
  </si>
  <si>
    <t>操控</t>
  </si>
  <si>
    <t>专长点应为15</t>
  </si>
  <si>
    <t>新增常用检定，重写了能量池和刻度部分，重写了书签整备和主动技能。</t>
  </si>
  <si>
    <t>沉着</t>
  </si>
  <si>
    <t>仅供参考</t>
  </si>
  <si>
    <t>技能段</t>
  </si>
  <si>
    <t>技能</t>
  </si>
  <si>
    <t>技能总值</t>
  </si>
  <si>
    <t>附加成功</t>
  </si>
  <si>
    <t>专业</t>
  </si>
  <si>
    <t>升级来源</t>
  </si>
  <si>
    <t>生
理</t>
  </si>
  <si>
    <t>运动</t>
  </si>
  <si>
    <t>肉搏</t>
  </si>
  <si>
    <t>驾驶</t>
  </si>
  <si>
    <t>枪械</t>
  </si>
  <si>
    <t>手上功夫</t>
  </si>
  <si>
    <t>隐藏</t>
  </si>
  <si>
    <t>求生</t>
  </si>
  <si>
    <t>白刃</t>
  </si>
  <si>
    <t>心
智</t>
  </si>
  <si>
    <t>学识</t>
  </si>
  <si>
    <t>电脑</t>
  </si>
  <si>
    <t>调查</t>
  </si>
  <si>
    <t>医学</t>
  </si>
  <si>
    <t>神秘学</t>
  </si>
  <si>
    <t>科学</t>
  </si>
  <si>
    <t>手艺</t>
  </si>
  <si>
    <t>互
动</t>
  </si>
  <si>
    <t>动物沟通</t>
  </si>
  <si>
    <t>感受</t>
  </si>
  <si>
    <t>胁迫</t>
  </si>
  <si>
    <t>交际</t>
  </si>
  <si>
    <t>掩饰</t>
  </si>
  <si>
    <t>表达</t>
  </si>
  <si>
    <t>其
他</t>
  </si>
  <si>
    <t>衍生属性</t>
  </si>
  <si>
    <t>基础速度</t>
  </si>
  <si>
    <t>总值</t>
  </si>
  <si>
    <t>体型调整</t>
  </si>
  <si>
    <t>注：上方文字为增加值的来源，下方的数值为具体要加上的数值。</t>
  </si>
  <si>
    <t>先攻</t>
  </si>
  <si>
    <t>传奇沉着</t>
  </si>
  <si>
    <t>敏感范围</t>
  </si>
  <si>
    <t>传奇感知</t>
  </si>
  <si>
    <t>意志力池</t>
  </si>
  <si>
    <t>传奇决心</t>
  </si>
  <si>
    <t>生命上限</t>
  </si>
  <si>
    <t>传奇耐力</t>
  </si>
  <si>
    <t>触及</t>
  </si>
  <si>
    <t>体型</t>
  </si>
  <si>
    <t>中型</t>
  </si>
  <si>
    <t>体积</t>
  </si>
  <si>
    <t>陆行速度</t>
  </si>
  <si>
    <t>飞行速度</t>
  </si>
  <si>
    <t>旅行速度</t>
  </si>
  <si>
    <t>模糊范围</t>
  </si>
  <si>
    <t>信仰导向</t>
  </si>
  <si>
    <t>防御预设</t>
  </si>
  <si>
    <t>基础防御</t>
  </si>
  <si>
    <t>敏捷/感知</t>
  </si>
  <si>
    <t>传奇敏捷</t>
  </si>
  <si>
    <t>防御附加成功</t>
  </si>
  <si>
    <t>全力防御</t>
  </si>
  <si>
    <t>白刃格挡</t>
  </si>
  <si>
    <t>盾牌防御</t>
  </si>
  <si>
    <t>盾牌</t>
  </si>
  <si>
    <t>肉搏格挡</t>
  </si>
  <si>
    <t>闪避防御</t>
  </si>
  <si>
    <t>天生防御</t>
  </si>
  <si>
    <t>盔甲防御</t>
  </si>
  <si>
    <t>盔甲</t>
  </si>
  <si>
    <t>洞察防御</t>
  </si>
  <si>
    <t>偏斜防御</t>
  </si>
  <si>
    <t>其他防御</t>
  </si>
  <si>
    <t>防御总和</t>
  </si>
  <si>
    <t>无</t>
  </si>
  <si>
    <t>豁免</t>
  </si>
  <si>
    <t>意志豁免</t>
  </si>
  <si>
    <t>总附加成功</t>
  </si>
  <si>
    <t>感受附加</t>
  </si>
  <si>
    <t>反射豁免</t>
  </si>
  <si>
    <t>运动附加</t>
  </si>
  <si>
    <t>强韧豁免</t>
  </si>
  <si>
    <t>求生附加</t>
  </si>
  <si>
    <t>范围豁免</t>
  </si>
  <si>
    <t>特殊防御效果与被动效果</t>
  </si>
  <si>
    <t>快速治疗</t>
  </si>
  <si>
    <t>伤害减免</t>
  </si>
  <si>
    <t>全</t>
  </si>
  <si>
    <t>魔法</t>
  </si>
  <si>
    <t>神兵</t>
  </si>
  <si>
    <t>能量抗力</t>
  </si>
  <si>
    <t>火焰</t>
  </si>
  <si>
    <t>寒冰</t>
  </si>
  <si>
    <t>雷电</t>
  </si>
  <si>
    <t>腐蚀</t>
  </si>
  <si>
    <t>光明</t>
  </si>
  <si>
    <t>黑暗</t>
  </si>
  <si>
    <t>音波</t>
  </si>
  <si>
    <t>光能</t>
  </si>
  <si>
    <t>法术抗力</t>
  </si>
  <si>
    <t>伤害忽略</t>
  </si>
  <si>
    <t>专长段</t>
  </si>
  <si>
    <t>主干资源</t>
  </si>
  <si>
    <t>专长等级</t>
  </si>
  <si>
    <t>专长名称</t>
  </si>
  <si>
    <t>专长内容（请将同一专长的不同等级分开填写）</t>
  </si>
  <si>
    <t>血统</t>
  </si>
  <si>
    <t>改造</t>
  </si>
  <si>
    <t>瞳术</t>
  </si>
  <si>
    <t>、1</t>
  </si>
  <si>
    <t>、生命潜力</t>
  </si>
  <si>
    <t>、 1级：前提：需求耐力4，风度4。生命拥有进化的潜力，而你在他们之中也是最特别的那个。你在进行本能觉醒的开启检定时，检定结果增加1点。</t>
  </si>
  <si>
    <t>魔导书</t>
  </si>
  <si>
    <t>修炼体系</t>
  </si>
  <si>
    <t>上清神霄感应雷法真传</t>
  </si>
  <si>
    <t>称号</t>
  </si>
  <si>
    <t>流派</t>
  </si>
  <si>
    <t>被动特性</t>
  </si>
  <si>
    <t>特性名</t>
  </si>
  <si>
    <t>特性内容</t>
  </si>
  <si>
    <t xml:space="preserve">上清神霄感应雷法真传（下简称“上清雷法”）为轮回之境萃取修真宇宙观多种雷法，总合而成之雷法真传，藉由吞吐天地元气，淬炼道心，天人合一，超脱长生。
雷法乃总摄天地阴阳震荡之意。
【天道永恒，无善无恶，无常无非常，不可道，是名为道。修真界通常有三种因应态度。雷法修行代表的顺天而行，拳修代表的自身圆满，剑修代表的逆天而为。雷法修行者顺应天意，最终与天道合一，天道即为我心，随心所欲而不逾矩。拳修自身即成宇宙，自成体系，万法自足，求诸身内。剑修则逆天而行，斩破一切束缚，唯心为剑，劈空见性，逍遥快意。皆可长生久视，成造化主。】
===========================================================================================================
兑换提示：雷电系修真，核心加强【雷】关键词的道术。
其兑换以“掌心雷”作为核心，几乎所有兑换全部围绕该技能作为强化，资源极其集中，效果也极其明显。
总体而言可玩性较强，作为一种特定的输出非常适合，而且画风满满。
重点是核心的兑换部分也不是很贵，可以在前期早早成形。
缺点其大部分的强化都是被动加强“掌心雷”，所以一旦“掌心雷”无法使用则兑换整体废掉，并且这些被动技能无法使用书签，所以自身资源非常集中。
</t>
  </si>
  <si>
    <t>上清雷法第一层</t>
  </si>
  <si>
    <t xml:space="preserve">技能树：开启上清雷法D级技能树
能量池：真气
特殊：无
特性：雷修（双特性），天雷锻体
描述：修习雷法之人，有较高心性道德要求。在一般修真或东方古代世界中，雷法修行者被视为正派。在一般普世魔法世界中，雷法可能被视同为同级的神圣系魔法。
雷修：你获得相当于上清雷法支线等级的道术施法者职能，可以用来学习和施展通用道术，你获得道力能量池。
天雷锻体：你获得2点全能量抗力。
</t>
  </si>
  <si>
    <t xml:space="preserve">掌心雷
</t>
  </si>
  <si>
    <t xml:space="preserve">关键字：【雷】
专业：道术
威力值：2
价格：500
动作：标准动作
能耗：
成分：语言，姿势
射程：20米
目标：一个目标
范围：无
持续：立即
描述：掌心雷攻击声音很大，相当于雷声的程度，这意味着方圆百里范围内所有具备听力的目标都会听到你的攻击。
效果：你以道术施法检定进行一次远程攻击，该次远程攻击的武器伤害为本道术的道术威力值，造成雷电严重伤害。
研发：你可以花费9XP进行研发，研发后获得以下效果：
本道术能耗变为1点，威力值提升为2点，之后本道术可以如常升阶。
然后你的本次攻击获得2点附加成功，射程改为20米。
</t>
  </si>
  <si>
    <t xml:space="preserve">
</t>
  </si>
  <si>
    <t>口头禅
+2 XP
删除
战斗每轮1D10，出1则浪费迅捷动作。
想象力丰富
+2 XP
删除
任务未提5个建议，全检定-2DP。
晕车/船
+2 XP
删除
乘坐机械载具时获得5点不可叠加的恶心点数。短休消除。
上瘾
+2 XP
删除
上瘾速度快，发作周期减半，禁断症状豁免-6DP。
爱出风头
+2 XP
删除
唬骗/易容/躲藏-3DP，战斗中总是第一个站出来。
C. 缺陷与天赋 (FLAWS &amp; TALENTS)</t>
  </si>
  <si>
    <t>空气朋友
LV.-2
+2 点
删除
所有人对你互动获2DP完美加值。
养啥死啥
LV.-1
+1 点
删除
非人宠物必死。
音痴
LV.-2
+2 点
删除
歌唱/演奏自动失败。
好奇心
LV.-1
+1 点
删除
不去探索未知则全检定-2DP。
机械白痴
LV.-4
+4 点
删除
使用科技物品D10判故障。</t>
  </si>
  <si>
    <t>夜视
-1 点
删除
获得黑暗视觉。
幸运
-1 点
删除
检定双判取高 (次数限制)。
快速康复
-1 点
删除
自然恢复速度翻倍。
灵感
-1 点
删除
直觉检定+5附加，首次免投。
战斗反射
-1 点
删除
措手不及仍可用反射动作。</t>
  </si>
  <si>
    <t>意志力</t>
  </si>
  <si>
    <t>总上限</t>
  </si>
  <si>
    <t>其他需要记录的填这里</t>
  </si>
  <si>
    <t>总加值</t>
  </si>
  <si>
    <t>初始</t>
  </si>
  <si>
    <t>传奇风度</t>
  </si>
  <si>
    <t>来源</t>
  </si>
  <si>
    <t>恢复方式</t>
  </si>
  <si>
    <t>每进行一次至少1小时的短休息（不能做其他行动），恢复1点意志力。
每进行至少8小时的长休息（不进行任何行动，而是用于睡眠之类），人物可以投掷1D10，这不是一次检定，恢复该投骰结果+传奇决心+传奇沉着/点意志力。</t>
  </si>
  <si>
    <t>基础用法</t>
  </si>
  <si>
    <t>人物在进行一个行动时（无论回合外还是回合内），若该行动不是周期性行为且只需一次检定（包括并不限于攻击、技能判定、对抗、防御等）可以无需任何动作直接支付1点意志力，在该行动上获得3DP的完美加值，这种用法对一次行动只能使用一次。
或者人物在受到攻击时，可以支付1点意志力，针对该次攻击人物在防御上获得3点完美加值。
当人物因伤势过重而昏迷时，可以花费1点意志力使昏迷延后。若为战斗时，则每1点意志力可以使人物继续行动1轮，每轮结束时决定是否花费该意志力，若不花费，则该轮结束后立即昏迷。若为非战斗时，则每1点意志力可以使人物继续行动1分钟。在持续时间内，人物不会因为伤势过重而昏迷。</t>
  </si>
  <si>
    <t>能量池</t>
  </si>
  <si>
    <t>能量池名称</t>
  </si>
  <si>
    <t>能量池分类</t>
  </si>
  <si>
    <t>道力</t>
  </si>
  <si>
    <t>魔幻本质</t>
  </si>
  <si>
    <t>能量池上限</t>
  </si>
  <si>
    <t>冥想4小时+1D6+传奇决心，短休1小时+1点</t>
  </si>
  <si>
    <t>①掌心雷1点/次 ②雷铠1点/分钟</t>
  </si>
  <si>
    <t>刻度</t>
  </si>
  <si>
    <t>刻度名称</t>
  </si>
  <si>
    <t>刻度上限</t>
  </si>
  <si>
    <t>初始刻度</t>
  </si>
  <si>
    <t>天雷蓄能</t>
  </si>
  <si>
    <t>3层</t>
  </si>
  <si>
    <t xml:space="preserve"> 每施放1次雷法+1层</t>
  </si>
  <si>
    <t>满3层后，下次雷法附加成功+1</t>
  </si>
  <si>
    <t>如果有多个能量池或刻度，则可以复制上述格式并在本页粘贴</t>
  </si>
  <si>
    <t>真气</t>
  </si>
  <si>
    <t>长休的时候自动回满，短休的时候可以打坐进行感知+决心检定，每有1点成功数可以恢复1点真气</t>
  </si>
  <si>
    <t>当你进行三豁免检定时，花费1点真气，该检定获得1DP能量加值。对您而言: 这意味着您在进行意志豁免、反射豁免、强韧豁免时，可以消耗1点【真气】，让您的豁免检定投骰时多加1个骰子（1DP）"</t>
  </si>
  <si>
    <t>近战肉搏攻击：力量+肉搏技能等级+天生武器伤害值±相关调整值</t>
  </si>
  <si>
    <t>伤害上限为=力量+肉搏技能等级+天生武器伤害值</t>
  </si>
  <si>
    <t>近战白刃攻击：力量+白刃技能等级+武器伤害值±相关调整值</t>
  </si>
  <si>
    <t>伤害上限为=力量+白刃技能等级+武器伤害值</t>
  </si>
  <si>
    <t>轻武器投掷攻击：敏捷+运动技能等级+武器伤害±相关调整值</t>
  </si>
  <si>
    <t>伤害上限为=运动技能等级+武器伤害值*2</t>
  </si>
  <si>
    <t>重武器投掷攻击：力量+运动技能等级+武器伤害±相关调整值</t>
  </si>
  <si>
    <t>远程弓箭攻击：敏捷+运动技能等级+武器伤害±相关调整值</t>
  </si>
  <si>
    <t>伤害上限为=该武器的力量需求+运动技能等级+武器伤害*2</t>
  </si>
  <si>
    <t>远程枪械攻击：敏捷+枪械技能等级+武器伤害±相关调整值</t>
  </si>
  <si>
    <t>伤害上限为=枪械技能等级+武器伤害*2</t>
  </si>
  <si>
    <t>远程炮类攻击：智力+枪械技能等级+武器伤害±相关调整值</t>
  </si>
  <si>
    <t>攻击方式：</t>
  </si>
  <si>
    <t>掌心雷</t>
  </si>
  <si>
    <t>总DP</t>
  </si>
  <si>
    <t>武器</t>
  </si>
  <si>
    <t>伤害上限</t>
  </si>
  <si>
    <t>传奇属性</t>
  </si>
  <si>
    <t>技能附加</t>
  </si>
  <si>
    <t>攻击特殊属性</t>
  </si>
  <si>
    <t>高速</t>
  </si>
  <si>
    <t>破甲</t>
  </si>
  <si>
    <t>破魔</t>
  </si>
  <si>
    <t>加骰</t>
  </si>
  <si>
    <t>其他关键词</t>
  </si>
  <si>
    <t>消耗</t>
  </si>
  <si>
    <t>能量</t>
  </si>
  <si>
    <t>动作</t>
  </si>
  <si>
    <t>姿势</t>
  </si>
  <si>
    <t>射程</t>
  </si>
  <si>
    <t>范围</t>
  </si>
  <si>
    <t>其他效果</t>
  </si>
  <si>
    <t>常用检定</t>
  </si>
  <si>
    <t>心灵检定</t>
  </si>
  <si>
    <t>黑客入侵检定</t>
  </si>
  <si>
    <t>传奇智力</t>
  </si>
  <si>
    <t>电脑附加</t>
  </si>
  <si>
    <t>侦查检定</t>
  </si>
  <si>
    <t>急救检定</t>
  </si>
  <si>
    <t>调查附加</t>
  </si>
  <si>
    <t>医学附加</t>
  </si>
  <si>
    <t>搜索检定</t>
  </si>
  <si>
    <t>诊断检定</t>
  </si>
  <si>
    <t>聆听检定</t>
  </si>
  <si>
    <t>治疗检定</t>
  </si>
  <si>
    <t>躲藏检定</t>
  </si>
  <si>
    <t>法术辨识检定</t>
  </si>
  <si>
    <t>隐藏附加</t>
  </si>
  <si>
    <t>神秘学附加</t>
  </si>
  <si>
    <t>闯越检定</t>
  </si>
  <si>
    <t>力量/敏捷</t>
  </si>
  <si>
    <t>威吓检定</t>
  </si>
  <si>
    <t>传奇力量/敏捷</t>
  </si>
  <si>
    <t>传奇操控</t>
  </si>
  <si>
    <t>胁迫附加</t>
  </si>
  <si>
    <t>平衡感检定</t>
  </si>
  <si>
    <t>说服检定</t>
  </si>
  <si>
    <t>交际附加</t>
  </si>
  <si>
    <t>追踪检定</t>
  </si>
  <si>
    <t>唬骗检定</t>
  </si>
  <si>
    <t>掩饰附加</t>
  </si>
  <si>
    <t>文件解读检定</t>
  </si>
  <si>
    <t>易容检定</t>
  </si>
  <si>
    <t>智力/操控</t>
  </si>
  <si>
    <t>学识附加</t>
  </si>
  <si>
    <t>传奇智力/操控</t>
  </si>
  <si>
    <t>怪物知识检定</t>
  </si>
  <si>
    <t>伪装检定</t>
  </si>
  <si>
    <t>跳跃检定</t>
  </si>
  <si>
    <t>盗窃检定</t>
  </si>
  <si>
    <t>传奇力量</t>
  </si>
  <si>
    <t>手上功夫附加</t>
  </si>
  <si>
    <t>逃脱检定</t>
  </si>
  <si>
    <t>开锁检定</t>
  </si>
  <si>
    <t>察言观色检定</t>
  </si>
  <si>
    <t>其他检定</t>
  </si>
  <si>
    <t>装备位</t>
  </si>
  <si>
    <t>装备名</t>
  </si>
  <si>
    <t>装备效果</t>
  </si>
  <si>
    <t>重量/公斤</t>
  </si>
  <si>
    <t>总重量/公斤</t>
  </si>
  <si>
    <t>左手</t>
  </si>
  <si>
    <t>右手</t>
  </si>
  <si>
    <t>头盔</t>
  </si>
  <si>
    <t>项链</t>
  </si>
  <si>
    <t>披风</t>
  </si>
  <si>
    <t>护腕/护臂</t>
  </si>
  <si>
    <t>手套</t>
  </si>
  <si>
    <t>腰带</t>
  </si>
  <si>
    <t>鞋</t>
  </si>
  <si>
    <t>戒指</t>
  </si>
  <si>
    <t>饰品/护符</t>
  </si>
  <si>
    <t>概念武装</t>
  </si>
  <si>
    <t>资源</t>
  </si>
  <si>
    <t>支线数（转化为D级支线数量）</t>
  </si>
  <si>
    <t>分数</t>
  </si>
  <si>
    <t>经验数</t>
  </si>
  <si>
    <t>资源介绍</t>
  </si>
  <si>
    <t>已获得</t>
  </si>
  <si>
    <t xml:space="preserve">
五雷咒价格：D+500上清雷法第一层：练气 价格：D+600
上清雷法第二层：筑基 
价格：12XP
掌心雷500 9
  营养珠25  净水珠25</t>
  </si>
  <si>
    <t>剩余</t>
  </si>
  <si>
    <t>已使用</t>
  </si>
  <si>
    <t>团名称/事件名</t>
  </si>
  <si>
    <t>经验</t>
  </si>
  <si>
    <t>经历</t>
  </si>
  <si>
    <t>总收入</t>
  </si>
  <si>
    <t>主动技能</t>
  </si>
  <si>
    <t>书签</t>
  </si>
  <si>
    <t>技能名：</t>
  </si>
  <si>
    <t>资源名</t>
  </si>
  <si>
    <t>是否携带</t>
  </si>
  <si>
    <t xml:space="preserve">关键字：【雷】
专业：道术
威力值：2
价格：500
动作：标准动作
能耗：1
成分：语言，姿势
射程：20米
目标：一个目标
范围：无
持续：立即
描述：掌心雷攻击声音很大，相当于雷声的程度，这意味着方圆百里范围内所有具备听力的目标都会听到你的攻击。
效果：你以道术施法检定进行一次远程攻击，该次远程攻击的武器伤害为本道术的道术威力值，造成雷电严重伤害。
研发：你可以花费9XP进行研发，研发后获得以下效果：
本道术能耗变为1点，威力值提升为2点，之后本道术可以如常升阶。
然后你的本次攻击获得2点附加成功，射程改为20米。
</t>
  </si>
  <si>
    <t>储存资源</t>
  </si>
  <si>
    <t>左边填上你储存的资源总量，不包括购买书页的花费，储存的资源和买书页的花费仍需要写到购买记录中</t>
  </si>
  <si>
    <t>剩余资源</t>
  </si>
  <si>
    <t>否</t>
  </si>
  <si>
    <t>五雷咒
关键字：【雷】
专业：道术
威力值：2
价格：D+500
动作：标准动作
能耗：1点道力
成分：姿势，语言，材料
射程：触及
目标：一个目标
范围：无
持续：立即
效果：你对目标造成15点雷电严重伤害，目标强韧豁免。</t>
  </si>
  <si>
    <t>怪癖段</t>
  </si>
  <si>
    <t>怪癖名称</t>
  </si>
  <si>
    <t>怪癖内容</t>
  </si>
  <si>
    <t>抹除记录</t>
  </si>
  <si>
    <t>口头禅</t>
  </si>
  <si>
    <t>口头禅
+2 XP
删除
战斗每轮1D10，出1则浪费迅捷动作。</t>
  </si>
  <si>
    <t>备注：当你抹除一个怪癖时，不应删除其相关记录（尤其是怪癖名称），而是在抹除记录处写上任意文字，因此消耗的XP也无需在购买记录中再次记录</t>
  </si>
  <si>
    <t>上瘾</t>
  </si>
  <si>
    <t>上瘾速度快，发作周期减半，禁断症状豁免-6DP。</t>
  </si>
  <si>
    <t>爱出风头</t>
  </si>
  <si>
    <t>唬骗/易容/躲藏-3DP，战斗中总是第一个站出来</t>
  </si>
  <si>
    <t>总XP</t>
  </si>
  <si>
    <t>缺陷</t>
  </si>
  <si>
    <t>缺陷名称</t>
  </si>
  <si>
    <t>缺陷点数</t>
  </si>
  <si>
    <t>缺陷内容</t>
  </si>
  <si>
    <t>空气朋友</t>
  </si>
  <si>
    <t>所有人对你互动获2DP完美加值</t>
  </si>
  <si>
    <t>天赋点数</t>
  </si>
  <si>
    <t>养啥死啥</t>
  </si>
  <si>
    <t>非人宠物必死。</t>
  </si>
  <si>
    <t>结余</t>
  </si>
  <si>
    <t>音痴</t>
  </si>
  <si>
    <t>歌唱/演奏自动失败</t>
  </si>
  <si>
    <t>好奇心</t>
  </si>
  <si>
    <t>不去探索未知则全检定-2DP。</t>
  </si>
  <si>
    <t>机械白痴</t>
  </si>
  <si>
    <t>使用科技物品D10判故障。</t>
  </si>
  <si>
    <t>天赋</t>
  </si>
  <si>
    <t>天赋名称</t>
  </si>
  <si>
    <t>天赋内容</t>
  </si>
  <si>
    <t>夜视</t>
  </si>
  <si>
    <t xml:space="preserve"> 获得黑暗视觉。</t>
  </si>
  <si>
    <t>幸运</t>
  </si>
  <si>
    <t>检定双判取高 (次数限制)</t>
  </si>
  <si>
    <t>快速康复</t>
  </si>
  <si>
    <t>自然恢复速度翻倍。</t>
  </si>
  <si>
    <t>灵感</t>
  </si>
  <si>
    <t>直觉检定+5附加，首次免投</t>
  </si>
  <si>
    <t>战斗反射</t>
  </si>
  <si>
    <t>措手不及仍可用反射动作。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</si>
</sst>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0.00_ "/>
  </numFmts>
  <fonts count="24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4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5" applyNumberFormat="0" applyFill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0" borderId="4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7" applyNumberFormat="0" applyAlignment="0" applyProtection="0">
      <alignment vertical="center"/>
    </xf>
    <xf numFmtId="0" fontId="14" fillId="8" borderId="48" applyNumberFormat="0" applyAlignment="0" applyProtection="0">
      <alignment vertical="center"/>
    </xf>
    <xf numFmtId="0" fontId="15" fillId="8" borderId="47" applyNumberFormat="0" applyAlignment="0" applyProtection="0">
      <alignment vertical="center"/>
    </xf>
    <xf numFmtId="0" fontId="16" fillId="9" borderId="49" applyNumberFormat="0" applyAlignment="0" applyProtection="0">
      <alignment vertical="center"/>
    </xf>
    <xf numFmtId="0" fontId="17" fillId="0" borderId="50" applyNumberFormat="0" applyFill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81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21" xfId="0" applyFont="1" applyFill="1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176" fontId="0" fillId="0" borderId="0" xfId="0" applyNumberFormat="1" applyAlignment="1" applyProtection="1">
      <alignment horizontal="center" vertical="center" wrapText="1"/>
    </xf>
    <xf numFmtId="176" fontId="0" fillId="0" borderId="3" xfId="0" applyNumberFormat="1" applyBorder="1" applyAlignment="1" applyProtection="1">
      <alignment horizontal="center" vertical="center" wrapText="1"/>
      <protection locked="0"/>
    </xf>
    <xf numFmtId="176" fontId="0" fillId="0" borderId="0" xfId="0" applyNumberFormat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176" fontId="0" fillId="0" borderId="7" xfId="0" applyNumberFormat="1" applyBorder="1" applyAlignment="1" applyProtection="1">
      <alignment horizontal="center" vertical="center" wrapText="1"/>
      <protection locked="0"/>
    </xf>
    <xf numFmtId="176" fontId="0" fillId="0" borderId="4" xfId="0" applyNumberFormat="1" applyBorder="1" applyAlignment="1" applyProtection="1">
      <alignment horizontal="center" vertical="center" wrapText="1"/>
      <protection locked="0"/>
    </xf>
    <xf numFmtId="176" fontId="0" fillId="0" borderId="5" xfId="0" applyNumberFormat="1" applyBorder="1" applyAlignment="1" applyProtection="1">
      <alignment horizontal="center" vertical="center" wrapText="1"/>
      <protection locked="0"/>
    </xf>
    <xf numFmtId="176" fontId="0" fillId="0" borderId="8" xfId="0" applyNumberFormat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</xf>
    <xf numFmtId="0" fontId="0" fillId="0" borderId="7" xfId="0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  <protection locked="0"/>
    </xf>
    <xf numFmtId="0" fontId="0" fillId="0" borderId="0" xfId="0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0" fillId="4" borderId="22" xfId="0" applyFill="1" applyBorder="1" applyAlignment="1" applyProtection="1">
      <alignment horizontal="center" vertical="center" wrapText="1"/>
      <protection locked="0"/>
    </xf>
    <xf numFmtId="0" fontId="0" fillId="4" borderId="23" xfId="0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3" xfId="0" applyFont="1" applyFill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vertical="center" wrapText="1"/>
      <protection locked="0"/>
    </xf>
    <xf numFmtId="0" fontId="0" fillId="4" borderId="0" xfId="0" applyFill="1" applyBorder="1" applyAlignment="1" applyProtection="1">
      <alignment horizontal="center" vertical="center" wrapText="1"/>
      <protection locked="0"/>
    </xf>
    <xf numFmtId="0" fontId="0" fillId="3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4" borderId="24" xfId="0" applyFill="1" applyBorder="1" applyAlignment="1" applyProtection="1">
      <alignment horizontal="center" vertical="center" wrapText="1"/>
      <protection locked="0"/>
    </xf>
    <xf numFmtId="0" fontId="0" fillId="4" borderId="25" xfId="0" applyFill="1" applyBorder="1" applyAlignment="1" applyProtection="1">
      <alignment horizontal="center" vertical="center" wrapText="1"/>
      <protection locked="0"/>
    </xf>
    <xf numFmtId="0" fontId="0" fillId="3" borderId="25" xfId="0" applyFont="1" applyFill="1" applyBorder="1" applyAlignment="1" applyProtection="1">
      <alignment horizontal="center" vertical="center" wrapText="1"/>
      <protection locked="0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3" borderId="5" xfId="0" applyFont="1" applyFill="1" applyBorder="1" applyAlignment="1" applyProtection="1">
      <alignment horizontal="center" vertical="center" wrapText="1"/>
      <protection locked="0"/>
    </xf>
    <xf numFmtId="177" fontId="0" fillId="3" borderId="0" xfId="0" applyNumberFormat="1" applyFont="1" applyFill="1" applyBorder="1" applyAlignment="1" applyProtection="1">
      <alignment horizontal="center" vertical="center" wrapText="1"/>
      <protection locked="0"/>
    </xf>
    <xf numFmtId="177" fontId="0" fillId="3" borderId="25" xfId="0" applyNumberFormat="1" applyFont="1" applyFill="1" applyBorder="1" applyAlignment="1" applyProtection="1">
      <alignment horizontal="center" vertical="center" wrapText="1"/>
      <protection locked="0"/>
    </xf>
    <xf numFmtId="177" fontId="0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26" xfId="0" applyFill="1" applyBorder="1" applyAlignment="1" applyProtection="1">
      <alignment horizontal="center" vertical="center" wrapText="1"/>
      <protection locked="0"/>
    </xf>
    <xf numFmtId="0" fontId="0" fillId="4" borderId="27" xfId="0" applyFill="1" applyBorder="1" applyAlignment="1" applyProtection="1">
      <alignment horizontal="center" vertical="center" wrapText="1"/>
      <protection locked="0"/>
    </xf>
    <xf numFmtId="0" fontId="0" fillId="4" borderId="28" xfId="0" applyFill="1" applyBorder="1" applyAlignment="1" applyProtection="1">
      <alignment horizontal="center" vertical="center" wrapText="1"/>
      <protection locked="0"/>
    </xf>
    <xf numFmtId="0" fontId="0" fillId="4" borderId="29" xfId="0" applyFill="1" applyBorder="1" applyAlignment="1" applyProtection="1">
      <alignment horizontal="center" vertical="center" wrapText="1"/>
      <protection locked="0"/>
    </xf>
    <xf numFmtId="0" fontId="0" fillId="0" borderId="30" xfId="0" applyFont="1" applyFill="1" applyBorder="1" applyAlignment="1" applyProtection="1">
      <alignment horizontal="center" vertical="center" wrapText="1"/>
      <protection locked="0"/>
    </xf>
    <xf numFmtId="177" fontId="0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Font="1" applyFill="1" applyBorder="1" applyAlignment="1" applyProtection="1">
      <alignment horizontal="center" vertical="center" wrapText="1"/>
      <protection locked="0"/>
    </xf>
    <xf numFmtId="177" fontId="0" fillId="3" borderId="31" xfId="0" applyNumberFormat="1" applyFont="1" applyFill="1" applyBorder="1" applyAlignment="1" applyProtection="1">
      <alignment horizontal="center" vertical="center" wrapText="1"/>
      <protection locked="0"/>
    </xf>
    <xf numFmtId="177" fontId="0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14" xfId="0" applyFont="1" applyFill="1" applyBorder="1" applyAlignment="1" applyProtection="1">
      <alignment horizontal="center" vertical="center"/>
    </xf>
    <xf numFmtId="0" fontId="0" fillId="0" borderId="15" xfId="0" applyFont="1" applyFill="1" applyBorder="1" applyAlignment="1" applyProtection="1">
      <alignment horizontal="center" vertical="center"/>
    </xf>
    <xf numFmtId="0" fontId="0" fillId="3" borderId="3" xfId="0" applyFont="1" applyFill="1" applyBorder="1" applyAlignment="1" applyProtection="1">
      <alignment horizontal="center" vertical="center"/>
    </xf>
    <xf numFmtId="0" fontId="0" fillId="3" borderId="0" xfId="0" applyFont="1" applyFill="1" applyBorder="1" applyAlignment="1" applyProtection="1">
      <alignment horizontal="center" vertical="center"/>
    </xf>
    <xf numFmtId="0" fontId="0" fillId="0" borderId="3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0" fillId="0" borderId="4" xfId="0" applyFont="1" applyFill="1" applyBorder="1" applyAlignment="1" applyProtection="1">
      <alignment horizontal="center" vertical="center"/>
    </xf>
    <xf numFmtId="0" fontId="0" fillId="0" borderId="5" xfId="0" applyFont="1" applyFill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center" vertical="center"/>
      <protection locked="0"/>
    </xf>
    <xf numFmtId="0" fontId="0" fillId="3" borderId="0" xfId="0" applyFont="1" applyFill="1" applyBorder="1" applyAlignment="1" applyProtection="1">
      <alignment horizontal="center" vertical="center"/>
      <protection locked="0"/>
    </xf>
    <xf numFmtId="0" fontId="0" fillId="4" borderId="3" xfId="0" applyFont="1" applyFill="1" applyBorder="1" applyAlignment="1" applyProtection="1">
      <alignment horizontal="center" vertical="center" wrapText="1"/>
      <protection locked="0"/>
    </xf>
    <xf numFmtId="0" fontId="0" fillId="4" borderId="0" xfId="0" applyFont="1" applyFill="1" applyBorder="1" applyAlignment="1" applyProtection="1">
      <alignment horizontal="center" vertical="center" wrapText="1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4" borderId="0" xfId="0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17" xfId="0" applyFont="1" applyFill="1" applyBorder="1" applyAlignment="1" applyProtection="1">
      <alignment horizontal="center" vertical="center"/>
    </xf>
    <xf numFmtId="0" fontId="0" fillId="3" borderId="7" xfId="0" applyFont="1" applyFill="1" applyBorder="1" applyAlignment="1" applyProtection="1">
      <alignment horizontal="center" vertical="center"/>
    </xf>
    <xf numFmtId="0" fontId="0" fillId="0" borderId="7" xfId="0" applyFont="1" applyFill="1" applyBorder="1" applyAlignment="1" applyProtection="1">
      <alignment horizontal="center" vertical="center"/>
    </xf>
    <xf numFmtId="0" fontId="0" fillId="0" borderId="8" xfId="0" applyFont="1" applyFill="1" applyBorder="1" applyAlignment="1" applyProtection="1">
      <alignment horizontal="center" vertical="center"/>
    </xf>
    <xf numFmtId="0" fontId="0" fillId="0" borderId="17" xfId="0" applyBorder="1" applyAlignment="1" applyProtection="1">
      <alignment vertical="center"/>
      <protection locked="0"/>
    </xf>
    <xf numFmtId="0" fontId="0" fillId="0" borderId="7" xfId="0" applyFont="1" applyFill="1" applyBorder="1" applyAlignment="1" applyProtection="1">
      <alignment horizontal="center" vertical="center"/>
      <protection locked="0"/>
    </xf>
    <xf numFmtId="0" fontId="0" fillId="3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6" fontId="0" fillId="0" borderId="0" xfId="0" applyNumberFormat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 applyProtection="1">
      <alignment horizontal="center" vertical="center" wrapText="1"/>
      <protection locked="0"/>
    </xf>
    <xf numFmtId="0" fontId="0" fillId="3" borderId="0" xfId="0" applyFill="1" applyBorder="1" applyAlignment="1" applyProtection="1">
      <alignment horizontal="center" vertical="center" wrapText="1"/>
      <protection locked="0"/>
    </xf>
    <xf numFmtId="0" fontId="0" fillId="0" borderId="3" xfId="0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horizontal="center" vertical="center" wrapText="1"/>
      <protection locked="0"/>
    </xf>
    <xf numFmtId="0" fontId="0" fillId="3" borderId="0" xfId="0" applyFill="1" applyAlignment="1" applyProtection="1">
      <alignment horizontal="center" vertical="center" wrapText="1"/>
      <protection locked="0"/>
    </xf>
    <xf numFmtId="0" fontId="0" fillId="3" borderId="4" xfId="0" applyFill="1" applyBorder="1" applyAlignment="1" applyProtection="1">
      <alignment horizontal="center" vertical="center" wrapText="1"/>
      <protection locked="0"/>
    </xf>
    <xf numFmtId="0" fontId="0" fillId="3" borderId="5" xfId="0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 applyProtection="1">
      <alignment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2" fillId="5" borderId="37" xfId="0" applyFont="1" applyFill="1" applyBorder="1" applyAlignment="1" applyProtection="1">
      <alignment horizontal="center" vertical="center" wrapText="1"/>
      <protection locked="0"/>
    </xf>
    <xf numFmtId="0" fontId="0" fillId="3" borderId="26" xfId="0" applyFill="1" applyBorder="1" applyAlignment="1" applyProtection="1">
      <alignment horizontal="center" vertical="center" wrapText="1"/>
      <protection locked="0"/>
    </xf>
    <xf numFmtId="0" fontId="0" fillId="3" borderId="23" xfId="0" applyFill="1" applyBorder="1" applyAlignment="1" applyProtection="1">
      <alignment horizontal="center" vertical="center" wrapText="1"/>
      <protection locked="0"/>
    </xf>
    <xf numFmtId="176" fontId="0" fillId="3" borderId="26" xfId="0" applyNumberFormat="1" applyFill="1" applyBorder="1" applyAlignment="1" applyProtection="1">
      <alignment horizontal="center" vertical="center" wrapText="1"/>
      <protection locked="0"/>
    </xf>
    <xf numFmtId="176" fontId="0" fillId="3" borderId="23" xfId="0" applyNumberFormat="1" applyFill="1" applyBorder="1" applyAlignment="1" applyProtection="1">
      <alignment horizontal="center" vertical="center" wrapText="1"/>
      <protection locked="0"/>
    </xf>
    <xf numFmtId="0" fontId="2" fillId="5" borderId="36" xfId="0" applyFont="1" applyFill="1" applyBorder="1" applyAlignment="1" applyProtection="1">
      <alignment horizontal="center" vertical="center" wrapText="1"/>
      <protection locked="0"/>
    </xf>
    <xf numFmtId="176" fontId="0" fillId="0" borderId="27" xfId="0" applyNumberFormat="1" applyFill="1" applyBorder="1" applyAlignment="1" applyProtection="1">
      <alignment horizontal="center" vertical="center" wrapText="1"/>
      <protection locked="0"/>
    </xf>
    <xf numFmtId="176" fontId="0" fillId="0" borderId="0" xfId="0" applyNumberFormat="1" applyFill="1" applyBorder="1" applyAlignment="1" applyProtection="1">
      <alignment horizontal="center" vertical="center" wrapText="1"/>
      <protection locked="0"/>
    </xf>
    <xf numFmtId="0" fontId="0" fillId="3" borderId="28" xfId="0" applyFill="1" applyBorder="1" applyAlignment="1" applyProtection="1">
      <alignment horizontal="center" vertical="center" wrapText="1"/>
      <protection locked="0"/>
    </xf>
    <xf numFmtId="0" fontId="0" fillId="3" borderId="25" xfId="0" applyFill="1" applyBorder="1" applyAlignment="1" applyProtection="1">
      <alignment horizontal="center" vertical="center" wrapText="1"/>
      <protection locked="0"/>
    </xf>
    <xf numFmtId="176" fontId="0" fillId="3" borderId="28" xfId="0" applyNumberFormat="1" applyFill="1" applyBorder="1" applyAlignment="1" applyProtection="1">
      <alignment horizontal="center" vertical="center" wrapText="1"/>
      <protection locked="0"/>
    </xf>
    <xf numFmtId="176" fontId="0" fillId="3" borderId="25" xfId="0" applyNumberFormat="1" applyFill="1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3" borderId="27" xfId="0" applyFill="1" applyBorder="1" applyAlignment="1" applyProtection="1">
      <alignment horizontal="center" vertical="center" wrapText="1"/>
      <protection locked="0"/>
    </xf>
    <xf numFmtId="176" fontId="0" fillId="3" borderId="27" xfId="0" applyNumberFormat="1" applyFill="1" applyBorder="1" applyAlignment="1" applyProtection="1">
      <alignment horizontal="center" vertical="center" wrapText="1"/>
      <protection locked="0"/>
    </xf>
    <xf numFmtId="176" fontId="0" fillId="3" borderId="0" xfId="0" applyNumberFormat="1" applyFill="1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176" fontId="0" fillId="0" borderId="28" xfId="0" applyNumberFormat="1" applyFill="1" applyBorder="1" applyAlignment="1" applyProtection="1">
      <alignment horizontal="center" vertical="center" wrapText="1"/>
      <protection locked="0"/>
    </xf>
    <xf numFmtId="176" fontId="0" fillId="0" borderId="25" xfId="0" applyNumberFormat="1" applyFill="1" applyBorder="1" applyAlignment="1" applyProtection="1">
      <alignment horizontal="center" vertical="center" wrapText="1"/>
      <protection locked="0"/>
    </xf>
    <xf numFmtId="0" fontId="2" fillId="5" borderId="38" xfId="0" applyFont="1" applyFill="1" applyBorder="1" applyAlignment="1" applyProtection="1">
      <alignment horizontal="center" vertical="center" wrapText="1"/>
      <protection locked="0"/>
    </xf>
    <xf numFmtId="0" fontId="0" fillId="3" borderId="29" xfId="0" applyFill="1" applyBorder="1" applyAlignment="1" applyProtection="1">
      <alignment horizontal="center" vertical="center" wrapText="1"/>
      <protection locked="0"/>
    </xf>
    <xf numFmtId="176" fontId="0" fillId="3" borderId="29" xfId="0" applyNumberFormat="1" applyFill="1" applyBorder="1" applyAlignment="1" applyProtection="1">
      <alignment horizontal="center" vertical="center" wrapText="1"/>
      <protection locked="0"/>
    </xf>
    <xf numFmtId="176" fontId="0" fillId="3" borderId="5" xfId="0" applyNumberForma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 wrapText="1"/>
      <protection locked="0"/>
    </xf>
    <xf numFmtId="0" fontId="0" fillId="0" borderId="40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3" fillId="5" borderId="11" xfId="0" applyFont="1" applyFill="1" applyBorder="1" applyAlignment="1" applyProtection="1">
      <alignment horizontal="center" vertical="center" wrapText="1"/>
      <protection locked="0"/>
    </xf>
    <xf numFmtId="0" fontId="0" fillId="5" borderId="12" xfId="0" applyFill="1" applyBorder="1" applyAlignment="1" applyProtection="1">
      <alignment horizontal="center" vertical="center" wrapText="1"/>
      <protection locked="0"/>
    </xf>
    <xf numFmtId="0" fontId="0" fillId="3" borderId="35" xfId="0" applyFill="1" applyBorder="1" applyAlignment="1" applyProtection="1">
      <alignment horizontal="center" vertical="center" wrapText="1"/>
      <protection locked="0"/>
    </xf>
    <xf numFmtId="0" fontId="0" fillId="5" borderId="11" xfId="0" applyFill="1" applyBorder="1" applyAlignment="1" applyProtection="1">
      <alignment horizontal="center" vertical="center" wrapText="1"/>
      <protection locked="0"/>
    </xf>
    <xf numFmtId="0" fontId="0" fillId="3" borderId="32" xfId="0" applyFill="1" applyBorder="1" applyAlignment="1" applyProtection="1">
      <alignment horizontal="center" vertical="center" wrapText="1"/>
      <protection locked="0"/>
    </xf>
    <xf numFmtId="0" fontId="0" fillId="0" borderId="32" xfId="0" applyFill="1" applyBorder="1" applyAlignment="1" applyProtection="1">
      <alignment horizontal="center" vertical="center" wrapText="1"/>
      <protection locked="0"/>
    </xf>
    <xf numFmtId="0" fontId="0" fillId="0" borderId="25" xfId="0" applyFill="1" applyBorder="1" applyAlignment="1" applyProtection="1">
      <alignment horizontal="center" vertical="center" wrapText="1"/>
      <protection locked="0"/>
    </xf>
    <xf numFmtId="0" fontId="0" fillId="0" borderId="33" xfId="0" applyFill="1" applyBorder="1" applyAlignment="1" applyProtection="1">
      <alignment horizontal="center" vertical="center" wrapText="1"/>
      <protection locked="0"/>
    </xf>
    <xf numFmtId="0" fontId="0" fillId="0" borderId="29" xfId="0" applyBorder="1" applyAlignment="1" applyProtection="1">
      <alignment horizontal="center" vertical="center" wrapText="1"/>
      <protection locked="0"/>
    </xf>
    <xf numFmtId="176" fontId="4" fillId="3" borderId="23" xfId="0" applyNumberFormat="1" applyFont="1" applyFill="1" applyBorder="1" applyAlignment="1" applyProtection="1">
      <alignment horizontal="center" vertical="center" wrapText="1"/>
      <protection locked="0"/>
    </xf>
    <xf numFmtId="176" fontId="0" fillId="3" borderId="35" xfId="0" applyNumberFormat="1" applyFill="1" applyBorder="1" applyAlignment="1" applyProtection="1">
      <alignment horizontal="center" vertical="center" wrapText="1"/>
      <protection locked="0"/>
    </xf>
    <xf numFmtId="176" fontId="4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32" xfId="0" applyNumberFormat="1" applyFill="1" applyBorder="1" applyAlignment="1" applyProtection="1">
      <alignment horizontal="center" vertical="center" wrapText="1"/>
      <protection locked="0"/>
    </xf>
    <xf numFmtId="176" fontId="0" fillId="0" borderId="32" xfId="0" applyNumberFormat="1" applyBorder="1" applyAlignment="1" applyProtection="1">
      <alignment horizontal="center" vertical="center" wrapText="1"/>
      <protection locked="0"/>
    </xf>
    <xf numFmtId="176" fontId="4" fillId="3" borderId="25" xfId="0" applyNumberFormat="1" applyFont="1" applyFill="1" applyBorder="1" applyAlignment="1" applyProtection="1">
      <alignment horizontal="center" vertical="center" wrapText="1"/>
      <protection locked="0"/>
    </xf>
    <xf numFmtId="176" fontId="0" fillId="3" borderId="33" xfId="0" applyNumberFormat="1" applyFill="1" applyBorder="1" applyAlignment="1" applyProtection="1">
      <alignment horizontal="center" vertical="center" wrapText="1"/>
      <protection locked="0"/>
    </xf>
    <xf numFmtId="176" fontId="0" fillId="0" borderId="23" xfId="0" applyNumberFormat="1" applyBorder="1" applyAlignment="1" applyProtection="1">
      <alignment horizontal="center" vertical="center" wrapText="1"/>
      <protection locked="0"/>
    </xf>
    <xf numFmtId="176" fontId="0" fillId="0" borderId="35" xfId="0" applyNumberFormat="1" applyBorder="1" applyAlignment="1" applyProtection="1">
      <alignment horizontal="center" vertical="center" wrapText="1"/>
      <protection locked="0"/>
    </xf>
    <xf numFmtId="176" fontId="4" fillId="3" borderId="0" xfId="0" applyNumberFormat="1" applyFont="1" applyFill="1" applyBorder="1" applyAlignment="1" applyProtection="1">
      <alignment horizontal="center" vertical="center" wrapText="1"/>
      <protection locked="0"/>
    </xf>
    <xf numFmtId="176" fontId="0" fillId="3" borderId="32" xfId="0" applyNumberFormat="1" applyFill="1" applyBorder="1" applyAlignment="1" applyProtection="1">
      <alignment horizontal="center" vertical="center" wrapText="1"/>
      <protection locked="0"/>
    </xf>
    <xf numFmtId="176" fontId="0" fillId="3" borderId="0" xfId="0" applyNumberFormat="1" applyFill="1" applyAlignment="1" applyProtection="1">
      <alignment horizontal="center" vertical="center" wrapText="1"/>
      <protection locked="0"/>
    </xf>
    <xf numFmtId="176" fontId="4" fillId="0" borderId="25" xfId="0" applyNumberFormat="1" applyFont="1" applyBorder="1" applyAlignment="1" applyProtection="1">
      <alignment horizontal="center" vertical="center" wrapText="1"/>
      <protection locked="0"/>
    </xf>
    <xf numFmtId="176" fontId="0" fillId="0" borderId="33" xfId="0" applyNumberFormat="1" applyFill="1" applyBorder="1" applyAlignment="1" applyProtection="1">
      <alignment horizontal="center" vertical="center" wrapText="1"/>
      <protection locked="0"/>
    </xf>
    <xf numFmtId="176" fontId="0" fillId="0" borderId="25" xfId="0" applyNumberFormat="1" applyBorder="1" applyAlignment="1" applyProtection="1">
      <alignment horizontal="center" vertical="center" wrapText="1"/>
      <protection locked="0"/>
    </xf>
    <xf numFmtId="176" fontId="0" fillId="0" borderId="33" xfId="0" applyNumberFormat="1" applyBorder="1" applyAlignment="1" applyProtection="1">
      <alignment horizontal="center" vertical="center" wrapText="1"/>
      <protection locked="0"/>
    </xf>
    <xf numFmtId="176" fontId="4" fillId="3" borderId="35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32" xfId="0" applyNumberFormat="1" applyFont="1" applyBorder="1" applyAlignment="1" applyProtection="1">
      <alignment horizontal="center" vertical="center" wrapText="1"/>
      <protection locked="0"/>
    </xf>
    <xf numFmtId="176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176" fontId="4" fillId="3" borderId="34" xfId="0" applyNumberFormat="1" applyFont="1" applyFill="1" applyBorder="1" applyAlignment="1" applyProtection="1">
      <alignment horizontal="center" vertical="center" wrapText="1"/>
      <protection locked="0"/>
    </xf>
    <xf numFmtId="176" fontId="0" fillId="3" borderId="34" xfId="0" applyNumberForma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27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28" xfId="0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176" fontId="0" fillId="3" borderId="30" xfId="0" applyNumberFormat="1" applyFill="1" applyBorder="1" applyAlignment="1" applyProtection="1">
      <alignment horizontal="center" vertical="center" wrapText="1"/>
      <protection locked="0"/>
    </xf>
    <xf numFmtId="176" fontId="0" fillId="0" borderId="27" xfId="0" applyNumberFormat="1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 vertical="center" wrapText="1"/>
    </xf>
    <xf numFmtId="0" fontId="0" fillId="0" borderId="25" xfId="0" applyBorder="1" applyAlignment="1" applyProtection="1">
      <alignment horizontal="center" vertical="center" wrapText="1"/>
    </xf>
    <xf numFmtId="0" fontId="0" fillId="0" borderId="31" xfId="0" applyBorder="1" applyAlignment="1" applyProtection="1">
      <alignment horizontal="center" vertical="center" wrapText="1"/>
    </xf>
    <xf numFmtId="176" fontId="0" fillId="3" borderId="31" xfId="0" applyNumberFormat="1" applyFill="1" applyBorder="1" applyAlignment="1" applyProtection="1">
      <alignment horizontal="center" vertical="center" wrapText="1"/>
      <protection locked="0"/>
    </xf>
    <xf numFmtId="176" fontId="0" fillId="0" borderId="26" xfId="0" applyNumberFormat="1" applyBorder="1" applyAlignment="1" applyProtection="1">
      <alignment horizontal="center" vertical="center" wrapText="1"/>
      <protection locked="0"/>
    </xf>
    <xf numFmtId="176" fontId="0" fillId="0" borderId="30" xfId="0" applyNumberFormat="1" applyBorder="1" applyAlignment="1" applyProtection="1">
      <alignment horizontal="center" vertical="center" wrapText="1"/>
      <protection locked="0"/>
    </xf>
    <xf numFmtId="176" fontId="0" fillId="3" borderId="7" xfId="0" applyNumberFormat="1" applyFill="1" applyBorder="1" applyAlignment="1" applyProtection="1">
      <alignment horizontal="center" vertical="center" wrapText="1"/>
      <protection locked="0"/>
    </xf>
    <xf numFmtId="176" fontId="0" fillId="0" borderId="28" xfId="0" applyNumberFormat="1" applyBorder="1" applyAlignment="1" applyProtection="1">
      <alignment horizontal="center" vertical="center" wrapText="1"/>
      <protection locked="0"/>
    </xf>
    <xf numFmtId="176" fontId="0" fillId="0" borderId="31" xfId="0" applyNumberFormat="1" applyBorder="1" applyAlignment="1" applyProtection="1">
      <alignment horizontal="center" vertical="center" wrapText="1"/>
      <protection locked="0"/>
    </xf>
    <xf numFmtId="176" fontId="0" fillId="3" borderId="8" xfId="0" applyNumberForma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center" vertical="center" wrapText="1"/>
    </xf>
    <xf numFmtId="0" fontId="0" fillId="0" borderId="8" xfId="0" applyBorder="1" applyAlignment="1" applyProtection="1">
      <alignment horizontal="center" vertical="center" wrapText="1"/>
    </xf>
    <xf numFmtId="0" fontId="0" fillId="3" borderId="41" xfId="0" applyFill="1" applyBorder="1" applyAlignment="1" applyProtection="1">
      <alignment horizontal="center" vertical="center" wrapText="1"/>
    </xf>
    <xf numFmtId="0" fontId="0" fillId="3" borderId="42" xfId="0" applyFill="1" applyBorder="1" applyAlignment="1" applyProtection="1">
      <alignment horizontal="center" vertical="center" wrapText="1"/>
    </xf>
    <xf numFmtId="0" fontId="0" fillId="0" borderId="42" xfId="0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</xf>
    <xf numFmtId="178" fontId="0" fillId="0" borderId="3" xfId="0" applyNumberFormat="1" applyBorder="1" applyAlignment="1" applyProtection="1">
      <alignment horizontal="center" vertical="center" wrapText="1"/>
    </xf>
    <xf numFmtId="178" fontId="0" fillId="0" borderId="4" xfId="0" applyNumberFormat="1" applyBorder="1" applyAlignment="1" applyProtection="1">
      <alignment horizontal="center" vertical="center" wrapText="1"/>
    </xf>
    <xf numFmtId="0" fontId="0" fillId="3" borderId="30" xfId="0" applyFill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0" fillId="3" borderId="7" xfId="0" applyFill="1" applyBorder="1" applyAlignment="1" applyProtection="1">
      <alignment horizontal="center" vertical="center" wrapText="1"/>
      <protection locked="0"/>
    </xf>
    <xf numFmtId="0" fontId="0" fillId="0" borderId="7" xfId="0" applyFill="1" applyBorder="1" applyAlignment="1" applyProtection="1">
      <alignment horizontal="center" vertical="center" wrapText="1"/>
      <protection locked="0"/>
    </xf>
    <xf numFmtId="0" fontId="0" fillId="0" borderId="31" xfId="0" applyFill="1" applyBorder="1" applyAlignment="1" applyProtection="1">
      <alignment horizontal="center" vertical="center" wrapText="1"/>
      <protection locked="0"/>
    </xf>
    <xf numFmtId="0" fontId="0" fillId="0" borderId="43" xfId="0" applyFill="1" applyBorder="1" applyAlignment="1" applyProtection="1">
      <alignment horizontal="center" vertical="center" wrapText="1"/>
    </xf>
    <xf numFmtId="0" fontId="0" fillId="3" borderId="33" xfId="0" applyFill="1" applyBorder="1" applyAlignment="1" applyProtection="1">
      <alignment horizontal="center" vertical="center" wrapText="1"/>
      <protection locked="0"/>
    </xf>
    <xf numFmtId="0" fontId="0" fillId="5" borderId="18" xfId="0" applyFill="1" applyBorder="1" applyAlignment="1" applyProtection="1">
      <alignment horizontal="center" vertical="center" wrapText="1"/>
      <protection locked="0"/>
    </xf>
    <xf numFmtId="0" fontId="0" fillId="5" borderId="19" xfId="0" applyFill="1" applyBorder="1" applyAlignment="1" applyProtection="1">
      <alignment horizontal="center" vertical="center" wrapText="1"/>
      <protection locked="0"/>
    </xf>
    <xf numFmtId="0" fontId="0" fillId="3" borderId="34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 vertical="center" wrapText="1"/>
      <protection locked="0"/>
    </xf>
    <xf numFmtId="0" fontId="0" fillId="0" borderId="29" xfId="0" applyFill="1" applyBorder="1" applyAlignment="1" applyProtection="1">
      <alignment horizontal="center" vertical="center" wrapText="1"/>
      <protection locked="0"/>
    </xf>
    <xf numFmtId="0" fontId="4" fillId="0" borderId="25" xfId="0" applyFont="1" applyFill="1" applyBorder="1" applyAlignment="1" applyProtection="1">
      <alignment horizontal="center" vertical="center" wrapText="1"/>
      <protection locked="0"/>
    </xf>
    <xf numFmtId="0" fontId="0" fillId="0" borderId="5" xfId="0" applyFill="1" applyBorder="1" applyAlignment="1" applyProtection="1">
      <alignment horizontal="center" vertical="center" wrapText="1"/>
      <protection locked="0"/>
    </xf>
    <xf numFmtId="0" fontId="0" fillId="0" borderId="34" xfId="0" applyFill="1" applyBorder="1" applyAlignment="1" applyProtection="1">
      <alignment horizontal="center" vertical="center" wrapText="1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0" borderId="31" xfId="0" applyFont="1" applyFill="1" applyBorder="1" applyAlignment="1" applyProtection="1">
      <alignment horizontal="center" vertical="center" wrapText="1"/>
      <protection locked="0"/>
    </xf>
    <xf numFmtId="0" fontId="4" fillId="0" borderId="8" xfId="0" applyFont="1" applyFill="1" applyBorder="1" applyAlignment="1" applyProtection="1">
      <alignment horizontal="center" vertical="center" wrapText="1"/>
      <protection locked="0"/>
    </xf>
    <xf numFmtId="0" fontId="0" fillId="3" borderId="7" xfId="0" applyFont="1" applyFill="1" applyBorder="1" applyAlignment="1" applyProtection="1">
      <alignment horizontal="center" vertical="center" wrapText="1"/>
      <protection locked="0"/>
    </xf>
    <xf numFmtId="0" fontId="0" fillId="3" borderId="31" xfId="0" applyFont="1" applyFill="1" applyBorder="1" applyAlignment="1" applyProtection="1">
      <alignment horizontal="center" vertical="center" wrapText="1"/>
      <protection locked="0"/>
    </xf>
    <xf numFmtId="0" fontId="0" fillId="3" borderId="8" xfId="0" applyFont="1" applyFill="1" applyBorder="1" applyAlignment="1" applyProtection="1">
      <alignment horizontal="center" vertical="center" wrapText="1"/>
      <protection locked="0"/>
    </xf>
    <xf numFmtId="0" fontId="0" fillId="0" borderId="4" xfId="0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4" tint="0.6"/>
        </patternFill>
      </fill>
    </dxf>
  </dxfs>
  <tableStyles count="1" defaultTableStyle="TableStyleMedium2" defaultPivotStyle="PivotStyleLight16">
    <tableStyle name="表样式 1" pivot="0" count="1" xr9:uid="{F2BC3339-6C25-4663-947A-DB1F22E13ACA}">
      <tableStyleElement type="firstRowStripe" dxfId="0"/>
    </tableStyle>
  </tableStyles>
  <colors>
    <mruColors>
      <color rgb="0064A2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V163"/>
  <sheetViews>
    <sheetView zoomScale="80" zoomScaleNormal="80" workbookViewId="0">
      <selection activeCell="S22" sqref="S22:T22"/>
    </sheetView>
  </sheetViews>
  <sheetFormatPr defaultColWidth="4.775" defaultRowHeight="16" customHeight="1"/>
  <cols>
    <col min="1" max="16382" width="4.775" style="61" customWidth="1"/>
    <col min="16383" max="16384" width="4.775" style="61"/>
  </cols>
  <sheetData>
    <row r="2" customHeight="1" spans="2:48">
      <c r="B2" s="6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4"/>
      <c r="AG2" s="251" t="s">
        <v>1</v>
      </c>
      <c r="AH2" s="252"/>
      <c r="AI2" s="252"/>
      <c r="AJ2" s="253" t="s">
        <v>2</v>
      </c>
      <c r="AK2" s="253"/>
      <c r="AL2" s="253"/>
      <c r="AM2" s="253"/>
      <c r="AN2" s="253"/>
      <c r="AO2" s="252" t="s">
        <v>3</v>
      </c>
      <c r="AP2" s="252"/>
      <c r="AQ2" s="252"/>
      <c r="AR2" s="253" t="s">
        <v>4</v>
      </c>
      <c r="AS2" s="253"/>
      <c r="AT2" s="253"/>
      <c r="AU2" s="253"/>
      <c r="AV2" s="262"/>
    </row>
    <row r="3" customHeight="1" spans="2:48">
      <c r="B3" s="160" t="s">
        <v>5</v>
      </c>
      <c r="C3" s="161"/>
      <c r="D3" s="6" t="s">
        <v>6</v>
      </c>
      <c r="E3" s="6"/>
      <c r="F3" s="6"/>
      <c r="G3" s="6" t="s">
        <v>7</v>
      </c>
      <c r="H3" s="6"/>
      <c r="I3" s="6" t="s">
        <v>8</v>
      </c>
      <c r="J3" s="6"/>
      <c r="K3" s="6"/>
      <c r="L3" s="172" t="s">
        <v>9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72" t="s">
        <v>10</v>
      </c>
      <c r="Z3" s="12"/>
      <c r="AA3" s="12"/>
      <c r="AB3" s="12"/>
      <c r="AC3" s="12"/>
      <c r="AD3" s="12"/>
      <c r="AE3" s="17"/>
      <c r="AG3" s="254"/>
      <c r="AH3" s="254"/>
      <c r="AI3" s="254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</row>
    <row r="4" customHeight="1" spans="2:48">
      <c r="B4" s="162" t="s">
        <v>11</v>
      </c>
      <c r="C4" s="163"/>
      <c r="D4" s="163">
        <v>16</v>
      </c>
      <c r="E4" s="163"/>
      <c r="F4" s="163"/>
      <c r="G4" s="163" t="s">
        <v>12</v>
      </c>
      <c r="H4" s="163"/>
      <c r="I4" s="163" t="s">
        <v>13</v>
      </c>
      <c r="J4" s="163"/>
      <c r="K4" s="163"/>
      <c r="L4" s="17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72"/>
      <c r="Z4" s="12"/>
      <c r="AA4" s="12"/>
      <c r="AB4" s="12"/>
      <c r="AC4" s="12"/>
      <c r="AD4" s="12"/>
      <c r="AE4" s="17"/>
      <c r="AG4" s="45" t="s">
        <v>14</v>
      </c>
      <c r="AH4" s="46"/>
      <c r="AI4" s="46"/>
      <c r="AJ4" s="46"/>
      <c r="AK4" s="46"/>
      <c r="AL4" s="46"/>
      <c r="AM4" s="46"/>
      <c r="AN4" s="59"/>
      <c r="AO4" s="254"/>
      <c r="AP4" s="254"/>
      <c r="AQ4" s="254"/>
      <c r="AR4" s="254"/>
      <c r="AS4" s="254"/>
      <c r="AT4" s="254"/>
      <c r="AU4" s="254"/>
      <c r="AV4" s="254"/>
    </row>
    <row r="5" customHeight="1" spans="2:48">
      <c r="B5" s="7" t="s">
        <v>15</v>
      </c>
      <c r="C5" s="6"/>
      <c r="D5" s="6" t="s">
        <v>16</v>
      </c>
      <c r="E5" s="6"/>
      <c r="F5" s="6"/>
      <c r="G5" s="6" t="s">
        <v>17</v>
      </c>
      <c r="H5" s="6"/>
      <c r="I5" s="6" t="s">
        <v>18</v>
      </c>
      <c r="J5" s="6"/>
      <c r="K5" s="6"/>
      <c r="L5" s="17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72"/>
      <c r="Z5" s="12"/>
      <c r="AA5" s="12"/>
      <c r="AB5" s="12"/>
      <c r="AC5" s="12"/>
      <c r="AD5" s="12"/>
      <c r="AE5" s="17"/>
      <c r="AG5" s="48">
        <v>1.1</v>
      </c>
      <c r="AH5" s="62" t="s">
        <v>19</v>
      </c>
      <c r="AI5" s="62"/>
      <c r="AJ5" s="62"/>
      <c r="AK5" s="62"/>
      <c r="AL5" s="62"/>
      <c r="AM5" s="62"/>
      <c r="AN5" s="60"/>
      <c r="AO5" s="254"/>
      <c r="AP5" s="254"/>
      <c r="AQ5" s="254"/>
      <c r="AR5" s="254"/>
      <c r="AS5" s="254"/>
      <c r="AT5" s="254"/>
      <c r="AU5" s="254"/>
      <c r="AV5" s="254"/>
    </row>
    <row r="6" customHeight="1" spans="2:48">
      <c r="B6" s="162" t="s">
        <v>20</v>
      </c>
      <c r="C6" s="163"/>
      <c r="D6" s="163" t="s">
        <v>21</v>
      </c>
      <c r="E6" s="163"/>
      <c r="F6" s="163"/>
      <c r="G6" s="163"/>
      <c r="H6" s="163"/>
      <c r="I6" s="163"/>
      <c r="J6" s="163"/>
      <c r="K6" s="163"/>
      <c r="L6" s="17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72"/>
      <c r="Z6" s="12"/>
      <c r="AA6" s="12"/>
      <c r="AB6" s="12"/>
      <c r="AC6" s="12"/>
      <c r="AD6" s="12"/>
      <c r="AE6" s="17"/>
      <c r="AG6" s="48"/>
      <c r="AH6" s="62"/>
      <c r="AI6" s="62"/>
      <c r="AJ6" s="62"/>
      <c r="AK6" s="62"/>
      <c r="AL6" s="62"/>
      <c r="AM6" s="62"/>
      <c r="AN6" s="60"/>
      <c r="AO6" s="254"/>
      <c r="AP6" s="254"/>
      <c r="AQ6" s="254"/>
      <c r="AR6" s="254"/>
      <c r="AS6" s="254"/>
      <c r="AT6" s="254"/>
      <c r="AU6" s="254"/>
      <c r="AV6" s="254"/>
    </row>
    <row r="7" customHeight="1" spans="2:48">
      <c r="B7" s="7" t="s">
        <v>22</v>
      </c>
      <c r="C7" s="12"/>
      <c r="D7" s="12" t="s">
        <v>23</v>
      </c>
      <c r="E7" s="12"/>
      <c r="F7" s="12"/>
      <c r="G7" s="12"/>
      <c r="H7" s="12"/>
      <c r="I7" s="12"/>
      <c r="J7" s="12"/>
      <c r="K7" s="12"/>
      <c r="L7" s="17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72"/>
      <c r="Z7" s="12"/>
      <c r="AA7" s="12"/>
      <c r="AB7" s="12"/>
      <c r="AC7" s="12"/>
      <c r="AD7" s="12"/>
      <c r="AE7" s="17"/>
      <c r="AG7" s="48">
        <v>1.2</v>
      </c>
      <c r="AH7" s="62" t="s">
        <v>24</v>
      </c>
      <c r="AI7" s="62"/>
      <c r="AJ7" s="62"/>
      <c r="AK7" s="62"/>
      <c r="AL7" s="62"/>
      <c r="AM7" s="62"/>
      <c r="AN7" s="60"/>
      <c r="AO7" s="254"/>
      <c r="AP7" s="254"/>
      <c r="AQ7" s="254"/>
      <c r="AR7" s="254"/>
      <c r="AS7" s="254"/>
      <c r="AT7" s="254"/>
      <c r="AU7" s="254"/>
      <c r="AV7" s="254"/>
    </row>
    <row r="8" customHeight="1" spans="2:48">
      <c r="B8" s="7"/>
      <c r="C8" s="12"/>
      <c r="D8" s="12"/>
      <c r="E8" s="12"/>
      <c r="F8" s="12"/>
      <c r="G8" s="12"/>
      <c r="H8" s="12"/>
      <c r="I8" s="12"/>
      <c r="J8" s="12"/>
      <c r="K8" s="12"/>
      <c r="L8" s="17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72"/>
      <c r="Z8" s="12"/>
      <c r="AA8" s="12"/>
      <c r="AB8" s="12"/>
      <c r="AC8" s="12"/>
      <c r="AD8" s="12"/>
      <c r="AE8" s="17"/>
      <c r="AG8" s="48"/>
      <c r="AH8" s="62"/>
      <c r="AI8" s="62"/>
      <c r="AJ8" s="62"/>
      <c r="AK8" s="62"/>
      <c r="AL8" s="62"/>
      <c r="AM8" s="62"/>
      <c r="AN8" s="60"/>
      <c r="AO8" s="254"/>
      <c r="AP8" s="254"/>
      <c r="AQ8" s="254"/>
      <c r="AR8" s="254"/>
      <c r="AS8" s="254"/>
      <c r="AT8" s="254"/>
      <c r="AU8" s="254"/>
      <c r="AV8" s="254"/>
    </row>
    <row r="9" customHeight="1" spans="2:48">
      <c r="B9" s="164"/>
      <c r="C9" s="165"/>
      <c r="D9" s="165"/>
      <c r="E9" s="165"/>
      <c r="F9" s="165"/>
      <c r="G9" s="165"/>
      <c r="H9" s="165"/>
      <c r="I9" s="165"/>
      <c r="J9" s="165"/>
      <c r="K9" s="165"/>
      <c r="L9" s="17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72"/>
      <c r="Z9" s="12"/>
      <c r="AA9" s="12"/>
      <c r="AB9" s="12"/>
      <c r="AC9" s="12"/>
      <c r="AD9" s="12"/>
      <c r="AE9" s="17"/>
      <c r="AG9" s="48">
        <v>1.3</v>
      </c>
      <c r="AH9" s="62" t="s">
        <v>25</v>
      </c>
      <c r="AI9" s="62"/>
      <c r="AJ9" s="62"/>
      <c r="AK9" s="62"/>
      <c r="AL9" s="62"/>
      <c r="AM9" s="62"/>
      <c r="AN9" s="60"/>
      <c r="AO9" s="254"/>
      <c r="AP9" s="254"/>
      <c r="AQ9" s="254"/>
      <c r="AR9" s="254"/>
      <c r="AS9" s="254"/>
      <c r="AT9" s="254"/>
      <c r="AU9" s="254"/>
      <c r="AV9" s="254"/>
    </row>
    <row r="10" customHeight="1" spans="2:48">
      <c r="B10" s="162" t="s">
        <v>26</v>
      </c>
      <c r="C10" s="166"/>
      <c r="D10" s="166" t="s">
        <v>27</v>
      </c>
      <c r="E10" s="166"/>
      <c r="F10" s="166"/>
      <c r="G10" s="166"/>
      <c r="H10" s="166"/>
      <c r="I10" s="166"/>
      <c r="J10" s="166"/>
      <c r="K10" s="166"/>
      <c r="L10" s="17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72"/>
      <c r="Z10" s="12"/>
      <c r="AA10" s="12"/>
      <c r="AB10" s="12"/>
      <c r="AC10" s="12"/>
      <c r="AD10" s="12"/>
      <c r="AE10" s="17"/>
      <c r="AG10" s="48"/>
      <c r="AH10" s="62"/>
      <c r="AI10" s="62"/>
      <c r="AJ10" s="62"/>
      <c r="AK10" s="62"/>
      <c r="AL10" s="62"/>
      <c r="AM10" s="62"/>
      <c r="AN10" s="60"/>
      <c r="AO10" s="254"/>
      <c r="AP10" s="254"/>
      <c r="AQ10" s="254"/>
      <c r="AR10" s="254"/>
      <c r="AS10" s="254"/>
      <c r="AT10" s="254"/>
      <c r="AU10" s="254"/>
      <c r="AV10" s="254"/>
    </row>
    <row r="11" customHeight="1" spans="2:48">
      <c r="B11" s="162"/>
      <c r="C11" s="166"/>
      <c r="D11" s="166"/>
      <c r="E11" s="166"/>
      <c r="F11" s="166"/>
      <c r="G11" s="166"/>
      <c r="H11" s="166"/>
      <c r="I11" s="166"/>
      <c r="J11" s="166"/>
      <c r="K11" s="166"/>
      <c r="L11" s="17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72"/>
      <c r="Z11" s="12"/>
      <c r="AA11" s="12"/>
      <c r="AB11" s="12"/>
      <c r="AC11" s="12"/>
      <c r="AD11" s="12"/>
      <c r="AE11" s="17"/>
      <c r="AG11" s="48">
        <v>1.4</v>
      </c>
      <c r="AH11" s="62" t="s">
        <v>28</v>
      </c>
      <c r="AI11" s="62"/>
      <c r="AJ11" s="62"/>
      <c r="AK11" s="62"/>
      <c r="AL11" s="62"/>
      <c r="AM11" s="62"/>
      <c r="AN11" s="60"/>
      <c r="AO11" s="254"/>
      <c r="AP11" s="254"/>
      <c r="AQ11" s="254"/>
      <c r="AR11" s="254"/>
      <c r="AS11" s="254"/>
      <c r="AT11" s="254"/>
      <c r="AU11" s="254"/>
      <c r="AV11" s="254"/>
    </row>
    <row r="12" customHeight="1" spans="2:48">
      <c r="B12" s="167"/>
      <c r="C12" s="168"/>
      <c r="D12" s="168"/>
      <c r="E12" s="168"/>
      <c r="F12" s="168"/>
      <c r="G12" s="168"/>
      <c r="H12" s="168"/>
      <c r="I12" s="168"/>
      <c r="J12" s="168"/>
      <c r="K12" s="168"/>
      <c r="L12" s="20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208"/>
      <c r="Z12" s="10"/>
      <c r="AA12" s="10"/>
      <c r="AB12" s="10"/>
      <c r="AC12" s="10"/>
      <c r="AD12" s="10"/>
      <c r="AE12" s="18"/>
      <c r="AG12" s="48"/>
      <c r="AH12" s="62"/>
      <c r="AI12" s="62"/>
      <c r="AJ12" s="62"/>
      <c r="AK12" s="62"/>
      <c r="AL12" s="62"/>
      <c r="AM12" s="62"/>
      <c r="AN12" s="60"/>
      <c r="AO12" s="254"/>
      <c r="AP12" s="254"/>
      <c r="AQ12" s="254"/>
      <c r="AR12" s="254"/>
      <c r="AS12" s="254"/>
      <c r="AT12" s="254"/>
      <c r="AU12" s="254"/>
      <c r="AV12" s="254"/>
    </row>
    <row r="13" customHeight="1" spans="33:48">
      <c r="AG13" s="48">
        <v>1.5</v>
      </c>
      <c r="AH13" s="62" t="s">
        <v>29</v>
      </c>
      <c r="AI13" s="62"/>
      <c r="AJ13" s="62"/>
      <c r="AK13" s="62"/>
      <c r="AL13" s="62"/>
      <c r="AM13" s="62"/>
      <c r="AN13" s="60"/>
      <c r="AO13" s="254"/>
      <c r="AP13" s="254"/>
      <c r="AQ13" s="254"/>
      <c r="AR13" s="254"/>
      <c r="AS13" s="254"/>
      <c r="AT13" s="254"/>
      <c r="AU13" s="254"/>
      <c r="AV13" s="254"/>
    </row>
    <row r="14" customHeight="1" spans="2:48">
      <c r="B14" s="169" t="s">
        <v>30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235"/>
      <c r="AB14" s="45" t="s">
        <v>31</v>
      </c>
      <c r="AC14" s="46"/>
      <c r="AD14" s="46"/>
      <c r="AE14" s="59"/>
      <c r="AG14" s="48"/>
      <c r="AH14" s="62"/>
      <c r="AI14" s="62"/>
      <c r="AJ14" s="62"/>
      <c r="AK14" s="62"/>
      <c r="AL14" s="62"/>
      <c r="AM14" s="62"/>
      <c r="AN14" s="60"/>
      <c r="AO14" s="254"/>
      <c r="AP14" s="254"/>
      <c r="AQ14" s="254"/>
      <c r="AR14" s="254"/>
      <c r="AS14" s="254"/>
      <c r="AT14" s="254"/>
      <c r="AU14" s="254"/>
      <c r="AV14" s="254"/>
    </row>
    <row r="15" customHeight="1" spans="2:48">
      <c r="B15" s="171"/>
      <c r="C15" s="12" t="s">
        <v>32</v>
      </c>
      <c r="D15" s="12"/>
      <c r="E15" s="172" t="s">
        <v>33</v>
      </c>
      <c r="F15" s="12"/>
      <c r="G15" s="12" t="s">
        <v>34</v>
      </c>
      <c r="H15" s="12"/>
      <c r="I15" s="12" t="s">
        <v>35</v>
      </c>
      <c r="J15" s="199"/>
      <c r="K15" s="12" t="s">
        <v>36</v>
      </c>
      <c r="L15" s="199"/>
      <c r="M15" s="12" t="s">
        <v>37</v>
      </c>
      <c r="N15" s="199"/>
      <c r="O15" s="12" t="s">
        <v>38</v>
      </c>
      <c r="P15" s="199"/>
      <c r="Q15" s="12" t="s">
        <v>39</v>
      </c>
      <c r="R15" s="12"/>
      <c r="S15" s="12" t="s">
        <v>40</v>
      </c>
      <c r="T15" s="12"/>
      <c r="U15" s="12" t="s">
        <v>41</v>
      </c>
      <c r="V15" s="12"/>
      <c r="W15" s="190" t="s">
        <v>42</v>
      </c>
      <c r="X15" s="190"/>
      <c r="Y15" s="172" t="s">
        <v>43</v>
      </c>
      <c r="Z15" s="17"/>
      <c r="AB15" s="48" t="s">
        <v>44</v>
      </c>
      <c r="AC15" s="62"/>
      <c r="AD15" s="62">
        <f>SUM(M16:N24)+COUNTIF(M16:N24,5)-18</f>
        <v>12</v>
      </c>
      <c r="AE15" s="60"/>
      <c r="AG15" s="48">
        <v>1.6</v>
      </c>
      <c r="AH15" s="62" t="s">
        <v>45</v>
      </c>
      <c r="AI15" s="62"/>
      <c r="AJ15" s="62"/>
      <c r="AK15" s="62"/>
      <c r="AL15" s="62"/>
      <c r="AM15" s="62"/>
      <c r="AN15" s="60"/>
      <c r="AO15" s="254"/>
      <c r="AP15" s="254"/>
      <c r="AQ15" s="254"/>
      <c r="AR15" s="254"/>
      <c r="AS15" s="254"/>
      <c r="AT15" s="254"/>
      <c r="AU15" s="254"/>
      <c r="AV15" s="254"/>
    </row>
    <row r="16" customHeight="1" spans="2:48">
      <c r="B16" s="173" t="s">
        <v>46</v>
      </c>
      <c r="C16" s="174" t="s">
        <v>47</v>
      </c>
      <c r="D16" s="175"/>
      <c r="E16" s="176">
        <f>SUM(K16,Q16:X16)</f>
        <v>2</v>
      </c>
      <c r="F16" s="177"/>
      <c r="G16" s="177">
        <f>SUM(E16,Y16)</f>
        <v>2</v>
      </c>
      <c r="H16" s="177"/>
      <c r="I16" s="209">
        <f>INT((E16-1)/5)</f>
        <v>0</v>
      </c>
      <c r="J16" s="209"/>
      <c r="K16" s="176">
        <f>SUM(M16:P16)</f>
        <v>2</v>
      </c>
      <c r="L16" s="210"/>
      <c r="M16" s="177">
        <v>2</v>
      </c>
      <c r="N16" s="210"/>
      <c r="O16" s="177"/>
      <c r="P16" s="210"/>
      <c r="Q16" s="177"/>
      <c r="R16" s="177"/>
      <c r="S16" s="177"/>
      <c r="T16" s="177"/>
      <c r="U16" s="177"/>
      <c r="V16" s="177"/>
      <c r="W16" s="166"/>
      <c r="X16" s="166"/>
      <c r="Y16" s="176"/>
      <c r="Z16" s="236"/>
      <c r="AB16" s="48" t="s">
        <v>48</v>
      </c>
      <c r="AC16" s="62"/>
      <c r="AD16" s="62">
        <f>SUM(L28:M77)+COUNTIF(L28:M77,4)+2*COUNTIF(L28:M77,5)</f>
        <v>20</v>
      </c>
      <c r="AE16" s="60"/>
      <c r="AG16" s="48"/>
      <c r="AH16" s="62"/>
      <c r="AI16" s="62"/>
      <c r="AJ16" s="62"/>
      <c r="AK16" s="62"/>
      <c r="AL16" s="62"/>
      <c r="AM16" s="62"/>
      <c r="AN16" s="60"/>
      <c r="AO16" s="254"/>
      <c r="AP16" s="254"/>
      <c r="AQ16" s="254"/>
      <c r="AR16" s="254"/>
      <c r="AS16" s="254"/>
      <c r="AT16" s="254"/>
      <c r="AU16" s="254"/>
      <c r="AV16" s="254"/>
    </row>
    <row r="17" customHeight="1" spans="2:48">
      <c r="B17" s="178"/>
      <c r="C17" s="172" t="s">
        <v>49</v>
      </c>
      <c r="D17" s="12"/>
      <c r="E17" s="179">
        <f t="shared" ref="E17:E24" si="0">SUM(K17,Q17:X17)</f>
        <v>3</v>
      </c>
      <c r="F17" s="180"/>
      <c r="G17" s="180">
        <f>SUM(E17,Y17)</f>
        <v>3</v>
      </c>
      <c r="H17" s="180"/>
      <c r="I17" s="211">
        <f t="shared" ref="I17:I24" si="1">INT((E17-1)/5)</f>
        <v>0</v>
      </c>
      <c r="J17" s="211"/>
      <c r="K17" s="179">
        <f t="shared" ref="K17:K24" si="2">SUM(M17:P17)</f>
        <v>3</v>
      </c>
      <c r="L17" s="212"/>
      <c r="M17" s="52">
        <v>3</v>
      </c>
      <c r="N17" s="213"/>
      <c r="O17" s="52"/>
      <c r="P17" s="213"/>
      <c r="Q17" s="52"/>
      <c r="R17" s="52"/>
      <c r="S17" s="52"/>
      <c r="T17" s="52"/>
      <c r="U17" s="52"/>
      <c r="V17" s="52"/>
      <c r="W17" s="12"/>
      <c r="X17" s="12"/>
      <c r="Y17" s="237"/>
      <c r="Z17" s="55"/>
      <c r="AB17" s="238" t="s">
        <v>50</v>
      </c>
      <c r="AC17" s="239"/>
      <c r="AD17" s="239">
        <f>SUM(专长和其他文本信息!B4:C150)</f>
        <v>0</v>
      </c>
      <c r="AE17" s="240"/>
      <c r="AG17" s="48">
        <v>1.7</v>
      </c>
      <c r="AH17" s="62" t="s">
        <v>51</v>
      </c>
      <c r="AI17" s="62"/>
      <c r="AJ17" s="62"/>
      <c r="AK17" s="62"/>
      <c r="AL17" s="62"/>
      <c r="AM17" s="62"/>
      <c r="AN17" s="60"/>
      <c r="AO17" s="254"/>
      <c r="AP17" s="254"/>
      <c r="AQ17" s="254"/>
      <c r="AR17" s="254"/>
      <c r="AS17" s="254"/>
      <c r="AT17" s="254"/>
      <c r="AU17" s="254"/>
      <c r="AV17" s="254"/>
    </row>
    <row r="18" customHeight="1" spans="2:48">
      <c r="B18" s="178"/>
      <c r="C18" s="181" t="s">
        <v>52</v>
      </c>
      <c r="D18" s="182"/>
      <c r="E18" s="183">
        <f t="shared" si="0"/>
        <v>4</v>
      </c>
      <c r="F18" s="184"/>
      <c r="G18" s="184">
        <f>SUM(E18,Y18)</f>
        <v>4</v>
      </c>
      <c r="H18" s="184"/>
      <c r="I18" s="214">
        <f t="shared" si="1"/>
        <v>0</v>
      </c>
      <c r="J18" s="214"/>
      <c r="K18" s="183">
        <f t="shared" si="2"/>
        <v>4</v>
      </c>
      <c r="L18" s="215"/>
      <c r="M18" s="184">
        <v>4</v>
      </c>
      <c r="N18" s="215"/>
      <c r="O18" s="184"/>
      <c r="P18" s="215"/>
      <c r="Q18" s="184"/>
      <c r="R18" s="184"/>
      <c r="S18" s="184"/>
      <c r="T18" s="184"/>
      <c r="U18" s="184"/>
      <c r="V18" s="184"/>
      <c r="W18" s="182"/>
      <c r="X18" s="182"/>
      <c r="Y18" s="183"/>
      <c r="Z18" s="241"/>
      <c r="AB18" s="48" t="s">
        <v>53</v>
      </c>
      <c r="AC18" s="62"/>
      <c r="AD18" s="62"/>
      <c r="AE18" s="60"/>
      <c r="AG18" s="48"/>
      <c r="AH18" s="62"/>
      <c r="AI18" s="62"/>
      <c r="AJ18" s="62"/>
      <c r="AK18" s="62"/>
      <c r="AL18" s="62"/>
      <c r="AM18" s="62"/>
      <c r="AN18" s="60"/>
      <c r="AO18" s="254"/>
      <c r="AP18" s="254"/>
      <c r="AQ18" s="254"/>
      <c r="AR18" s="254"/>
      <c r="AS18" s="254"/>
      <c r="AT18" s="254"/>
      <c r="AU18" s="254"/>
      <c r="AV18" s="254"/>
    </row>
    <row r="19" customHeight="1" spans="2:48">
      <c r="B19" s="173" t="s">
        <v>54</v>
      </c>
      <c r="C19" s="185" t="s">
        <v>55</v>
      </c>
      <c r="D19" s="67"/>
      <c r="E19" s="179">
        <f t="shared" si="0"/>
        <v>4</v>
      </c>
      <c r="F19" s="180"/>
      <c r="G19" s="180">
        <f t="shared" ref="G19:G24" si="3">SUM(E19,Y19)</f>
        <v>4</v>
      </c>
      <c r="H19" s="180"/>
      <c r="I19" s="211">
        <f t="shared" si="1"/>
        <v>0</v>
      </c>
      <c r="J19" s="211"/>
      <c r="K19" s="179">
        <f t="shared" si="2"/>
        <v>4</v>
      </c>
      <c r="L19" s="212"/>
      <c r="M19" s="216">
        <v>4</v>
      </c>
      <c r="N19" s="217"/>
      <c r="O19" s="216"/>
      <c r="P19" s="217"/>
      <c r="Q19" s="216"/>
      <c r="R19" s="216"/>
      <c r="S19" s="216"/>
      <c r="T19" s="216"/>
      <c r="U19" s="216"/>
      <c r="V19" s="216"/>
      <c r="W19" s="12"/>
      <c r="X19" s="12"/>
      <c r="Y19" s="242"/>
      <c r="Z19" s="243"/>
      <c r="AB19" s="48" t="s">
        <v>56</v>
      </c>
      <c r="AC19" s="49"/>
      <c r="AD19" s="49"/>
      <c r="AE19" s="60"/>
      <c r="AG19" s="48">
        <v>1.8</v>
      </c>
      <c r="AH19" s="62" t="s">
        <v>57</v>
      </c>
      <c r="AI19" s="62"/>
      <c r="AJ19" s="62"/>
      <c r="AK19" s="62"/>
      <c r="AL19" s="62"/>
      <c r="AM19" s="62"/>
      <c r="AN19" s="60"/>
      <c r="AO19" s="254"/>
      <c r="AP19" s="254"/>
      <c r="AQ19" s="254"/>
      <c r="AR19" s="254"/>
      <c r="AS19" s="254"/>
      <c r="AT19" s="254"/>
      <c r="AU19" s="254"/>
      <c r="AV19" s="254"/>
    </row>
    <row r="20" customHeight="1" spans="2:48">
      <c r="B20" s="178"/>
      <c r="C20" s="186" t="s">
        <v>58</v>
      </c>
      <c r="D20" s="166"/>
      <c r="E20" s="187">
        <f t="shared" si="0"/>
        <v>5</v>
      </c>
      <c r="F20" s="188"/>
      <c r="G20" s="188">
        <f t="shared" si="3"/>
        <v>5</v>
      </c>
      <c r="H20" s="188"/>
      <c r="I20" s="218">
        <f t="shared" si="1"/>
        <v>0</v>
      </c>
      <c r="J20" s="218"/>
      <c r="K20" s="187">
        <f t="shared" si="2"/>
        <v>4</v>
      </c>
      <c r="L20" s="219"/>
      <c r="M20" s="220">
        <v>4</v>
      </c>
      <c r="N20" s="219"/>
      <c r="O20" s="220"/>
      <c r="P20" s="219"/>
      <c r="Q20" s="220"/>
      <c r="R20" s="220"/>
      <c r="S20" s="220">
        <v>1</v>
      </c>
      <c r="T20" s="220"/>
      <c r="U20" s="220"/>
      <c r="V20" s="220"/>
      <c r="W20" s="166"/>
      <c r="X20" s="166"/>
      <c r="Y20" s="187"/>
      <c r="Z20" s="244"/>
      <c r="AB20" s="48"/>
      <c r="AC20" s="49"/>
      <c r="AD20" s="49"/>
      <c r="AE20" s="60"/>
      <c r="AG20" s="48"/>
      <c r="AH20" s="62"/>
      <c r="AI20" s="62"/>
      <c r="AJ20" s="62"/>
      <c r="AK20" s="62"/>
      <c r="AL20" s="62"/>
      <c r="AM20" s="62"/>
      <c r="AN20" s="60"/>
      <c r="AO20" s="254"/>
      <c r="AP20" s="254"/>
      <c r="AQ20" s="254"/>
      <c r="AR20" s="254"/>
      <c r="AS20" s="254"/>
      <c r="AT20" s="254"/>
      <c r="AU20" s="254"/>
      <c r="AV20" s="254"/>
    </row>
    <row r="21" customHeight="1" spans="2:48">
      <c r="B21" s="178"/>
      <c r="C21" s="189" t="s">
        <v>59</v>
      </c>
      <c r="D21" s="190"/>
      <c r="E21" s="191">
        <f t="shared" si="0"/>
        <v>4</v>
      </c>
      <c r="F21" s="192"/>
      <c r="G21" s="192">
        <f t="shared" si="3"/>
        <v>4</v>
      </c>
      <c r="H21" s="192"/>
      <c r="I21" s="221">
        <f t="shared" si="1"/>
        <v>0</v>
      </c>
      <c r="J21" s="221"/>
      <c r="K21" s="191">
        <f t="shared" si="2"/>
        <v>4</v>
      </c>
      <c r="L21" s="222"/>
      <c r="M21" s="223">
        <v>4</v>
      </c>
      <c r="N21" s="224"/>
      <c r="O21" s="223"/>
      <c r="P21" s="224"/>
      <c r="Q21" s="223"/>
      <c r="R21" s="223"/>
      <c r="S21" s="223"/>
      <c r="T21" s="223"/>
      <c r="U21" s="223"/>
      <c r="V21" s="223"/>
      <c r="W21" s="190"/>
      <c r="X21" s="190"/>
      <c r="Y21" s="245"/>
      <c r="Z21" s="246"/>
      <c r="AB21" s="48"/>
      <c r="AC21" s="49"/>
      <c r="AD21" s="49"/>
      <c r="AE21" s="60"/>
      <c r="AG21" s="48">
        <v>1.9</v>
      </c>
      <c r="AH21" s="62" t="s">
        <v>60</v>
      </c>
      <c r="AI21" s="62"/>
      <c r="AJ21" s="62"/>
      <c r="AK21" s="62"/>
      <c r="AL21" s="62"/>
      <c r="AM21" s="62"/>
      <c r="AN21" s="60"/>
      <c r="AO21" s="254"/>
      <c r="AP21" s="254"/>
      <c r="AQ21" s="254"/>
      <c r="AR21" s="254"/>
      <c r="AS21" s="254"/>
      <c r="AT21" s="254"/>
      <c r="AU21" s="254"/>
      <c r="AV21" s="254"/>
    </row>
    <row r="22" customHeight="1" spans="2:48">
      <c r="B22" s="173" t="s">
        <v>61</v>
      </c>
      <c r="C22" s="174" t="s">
        <v>62</v>
      </c>
      <c r="D22" s="175"/>
      <c r="E22" s="176">
        <f t="shared" si="0"/>
        <v>5</v>
      </c>
      <c r="F22" s="177"/>
      <c r="G22" s="177">
        <f t="shared" si="3"/>
        <v>5</v>
      </c>
      <c r="H22" s="177"/>
      <c r="I22" s="209">
        <f t="shared" si="1"/>
        <v>0</v>
      </c>
      <c r="J22" s="225"/>
      <c r="K22" s="187">
        <f t="shared" si="2"/>
        <v>4</v>
      </c>
      <c r="L22" s="219"/>
      <c r="M22" s="188">
        <v>4</v>
      </c>
      <c r="N22" s="219"/>
      <c r="O22" s="177"/>
      <c r="P22" s="210"/>
      <c r="Q22" s="177"/>
      <c r="R22" s="177"/>
      <c r="S22" s="177">
        <v>1</v>
      </c>
      <c r="T22" s="177"/>
      <c r="U22" s="177"/>
      <c r="V22" s="177"/>
      <c r="W22" s="166"/>
      <c r="X22" s="166"/>
      <c r="Y22" s="176"/>
      <c r="Z22" s="236"/>
      <c r="AB22" s="48"/>
      <c r="AC22" s="49"/>
      <c r="AD22" s="49"/>
      <c r="AE22" s="60"/>
      <c r="AG22" s="48"/>
      <c r="AH22" s="62"/>
      <c r="AI22" s="62"/>
      <c r="AJ22" s="62"/>
      <c r="AK22" s="62"/>
      <c r="AL22" s="62"/>
      <c r="AM22" s="62"/>
      <c r="AN22" s="60"/>
      <c r="AO22" s="254"/>
      <c r="AP22" s="254"/>
      <c r="AQ22" s="254"/>
      <c r="AR22" s="254"/>
      <c r="AS22" s="254"/>
      <c r="AT22" s="254"/>
      <c r="AU22" s="254"/>
      <c r="AV22" s="254"/>
    </row>
    <row r="23" customHeight="1" spans="2:48">
      <c r="B23" s="178"/>
      <c r="C23" s="172" t="s">
        <v>63</v>
      </c>
      <c r="D23" s="12"/>
      <c r="E23" s="179">
        <f t="shared" si="0"/>
        <v>2</v>
      </c>
      <c r="F23" s="180"/>
      <c r="G23" s="180">
        <f t="shared" si="3"/>
        <v>2</v>
      </c>
      <c r="H23" s="180"/>
      <c r="I23" s="211">
        <f t="shared" si="1"/>
        <v>0</v>
      </c>
      <c r="J23" s="226"/>
      <c r="K23" s="179">
        <f t="shared" si="2"/>
        <v>2</v>
      </c>
      <c r="L23" s="212"/>
      <c r="M23" s="52">
        <v>2</v>
      </c>
      <c r="N23" s="213"/>
      <c r="O23" s="52"/>
      <c r="P23" s="213"/>
      <c r="Q23" s="52"/>
      <c r="R23" s="52"/>
      <c r="S23" s="52"/>
      <c r="T23" s="52"/>
      <c r="U23" s="52"/>
      <c r="V23" s="52"/>
      <c r="W23" s="12"/>
      <c r="X23" s="12"/>
      <c r="Y23" s="237"/>
      <c r="Z23" s="55"/>
      <c r="AB23" s="48" t="s">
        <v>64</v>
      </c>
      <c r="AC23" s="49"/>
      <c r="AD23" s="49"/>
      <c r="AE23" s="60"/>
      <c r="AG23" s="255">
        <v>1.1</v>
      </c>
      <c r="AH23" s="49" t="s">
        <v>65</v>
      </c>
      <c r="AI23" s="49"/>
      <c r="AJ23" s="49"/>
      <c r="AK23" s="49"/>
      <c r="AL23" s="49"/>
      <c r="AM23" s="49"/>
      <c r="AN23" s="60"/>
      <c r="AO23" s="254"/>
      <c r="AP23" s="254"/>
      <c r="AQ23" s="254"/>
      <c r="AR23" s="254"/>
      <c r="AS23" s="254"/>
      <c r="AT23" s="254"/>
      <c r="AU23" s="254"/>
      <c r="AV23" s="254"/>
    </row>
    <row r="24" customHeight="1" spans="2:48">
      <c r="B24" s="193"/>
      <c r="C24" s="194" t="s">
        <v>66</v>
      </c>
      <c r="D24" s="168"/>
      <c r="E24" s="195">
        <f t="shared" si="0"/>
        <v>3</v>
      </c>
      <c r="F24" s="196"/>
      <c r="G24" s="196">
        <f t="shared" si="3"/>
        <v>3</v>
      </c>
      <c r="H24" s="196"/>
      <c r="I24" s="227">
        <f t="shared" si="1"/>
        <v>0</v>
      </c>
      <c r="J24" s="228"/>
      <c r="K24" s="195">
        <f t="shared" si="2"/>
        <v>3</v>
      </c>
      <c r="L24" s="229"/>
      <c r="M24" s="196">
        <v>3</v>
      </c>
      <c r="N24" s="229"/>
      <c r="O24" s="196"/>
      <c r="P24" s="229"/>
      <c r="Q24" s="196"/>
      <c r="R24" s="196"/>
      <c r="S24" s="196"/>
      <c r="T24" s="196"/>
      <c r="U24" s="196"/>
      <c r="V24" s="196"/>
      <c r="W24" s="168"/>
      <c r="X24" s="168"/>
      <c r="Y24" s="195"/>
      <c r="Z24" s="247"/>
      <c r="AB24" s="248" t="s">
        <v>67</v>
      </c>
      <c r="AC24" s="249"/>
      <c r="AD24" s="249"/>
      <c r="AE24" s="250"/>
      <c r="AG24" s="256"/>
      <c r="AH24" s="249"/>
      <c r="AI24" s="249"/>
      <c r="AJ24" s="249"/>
      <c r="AK24" s="249"/>
      <c r="AL24" s="249"/>
      <c r="AM24" s="249"/>
      <c r="AN24" s="250"/>
      <c r="AO24" s="254"/>
      <c r="AP24" s="254"/>
      <c r="AQ24" s="254"/>
      <c r="AR24" s="254"/>
      <c r="AS24" s="254"/>
      <c r="AT24" s="254"/>
      <c r="AU24" s="254"/>
      <c r="AV24" s="254"/>
    </row>
    <row r="26" customHeight="1" spans="2:37">
      <c r="B26" s="63" t="s">
        <v>68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4"/>
    </row>
    <row r="27" customHeight="1" spans="2:37">
      <c r="B27" s="197"/>
      <c r="C27" s="198"/>
      <c r="D27" s="12" t="s">
        <v>69</v>
      </c>
      <c r="E27" s="199"/>
      <c r="F27" s="12" t="s">
        <v>70</v>
      </c>
      <c r="G27" s="12"/>
      <c r="H27" s="12" t="s">
        <v>34</v>
      </c>
      <c r="I27" s="12"/>
      <c r="J27" s="12" t="s">
        <v>71</v>
      </c>
      <c r="K27" s="12"/>
      <c r="L27" s="172" t="s">
        <v>37</v>
      </c>
      <c r="M27" s="12"/>
      <c r="N27" s="230" t="s">
        <v>43</v>
      </c>
      <c r="O27" s="230"/>
      <c r="P27" s="172" t="s">
        <v>72</v>
      </c>
      <c r="Q27" s="12"/>
      <c r="R27" s="12"/>
      <c r="S27" s="12"/>
      <c r="T27" s="12"/>
      <c r="U27" s="12"/>
      <c r="V27" s="172" t="s">
        <v>73</v>
      </c>
      <c r="W27" s="12"/>
      <c r="X27" s="12" t="s">
        <v>73</v>
      </c>
      <c r="Y27" s="12"/>
      <c r="Z27" s="12" t="s">
        <v>73</v>
      </c>
      <c r="AA27" s="12"/>
      <c r="AB27" s="12" t="s">
        <v>73</v>
      </c>
      <c r="AC27" s="12"/>
      <c r="AD27" s="12" t="s">
        <v>73</v>
      </c>
      <c r="AE27" s="12"/>
      <c r="AF27" s="12" t="s">
        <v>73</v>
      </c>
      <c r="AG27" s="12"/>
      <c r="AH27" s="12" t="s">
        <v>73</v>
      </c>
      <c r="AI27" s="12"/>
      <c r="AJ27" s="12" t="s">
        <v>73</v>
      </c>
      <c r="AK27" s="17"/>
    </row>
    <row r="28" customHeight="1" spans="2:37">
      <c r="B28" s="200" t="s">
        <v>74</v>
      </c>
      <c r="C28" s="201"/>
      <c r="D28" s="175" t="s">
        <v>75</v>
      </c>
      <c r="E28" s="202"/>
      <c r="F28" s="175">
        <f>L28+COUNTA(V28:AK29)</f>
        <v>2</v>
      </c>
      <c r="G28" s="175"/>
      <c r="H28" s="175">
        <f>F28+N28</f>
        <v>2</v>
      </c>
      <c r="I28" s="175"/>
      <c r="J28" s="175">
        <f>IF(F28&gt;=5,INT((F28-3)/2),0)</f>
        <v>0</v>
      </c>
      <c r="K28" s="175"/>
      <c r="L28" s="174">
        <v>2</v>
      </c>
      <c r="M28" s="202"/>
      <c r="N28" s="163"/>
      <c r="O28" s="163"/>
      <c r="P28" s="174"/>
      <c r="Q28" s="175"/>
      <c r="R28" s="175"/>
      <c r="S28" s="175"/>
      <c r="T28" s="175"/>
      <c r="U28" s="202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257"/>
    </row>
    <row r="29" customHeight="1" spans="2:37">
      <c r="B29" s="203"/>
      <c r="C29" s="201"/>
      <c r="D29" s="166"/>
      <c r="E29" s="204"/>
      <c r="F29" s="166"/>
      <c r="G29" s="166"/>
      <c r="H29" s="166"/>
      <c r="I29" s="166"/>
      <c r="J29" s="166"/>
      <c r="K29" s="166"/>
      <c r="L29" s="186"/>
      <c r="M29" s="204"/>
      <c r="N29" s="163"/>
      <c r="O29" s="163"/>
      <c r="P29" s="231"/>
      <c r="Q29" s="232"/>
      <c r="R29" s="232"/>
      <c r="S29" s="232"/>
      <c r="T29" s="232"/>
      <c r="U29" s="205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58"/>
    </row>
    <row r="30" customHeight="1" spans="2:37">
      <c r="B30" s="203"/>
      <c r="C30" s="201"/>
      <c r="D30" s="165" t="s">
        <v>76</v>
      </c>
      <c r="E30" s="205"/>
      <c r="F30" s="165">
        <f>L30+COUNTA(V30:AK31)</f>
        <v>0</v>
      </c>
      <c r="G30" s="165"/>
      <c r="H30" s="165">
        <f>F30+N30</f>
        <v>0</v>
      </c>
      <c r="I30" s="165"/>
      <c r="J30" s="165">
        <f>IF(F30&gt;=5,INT((F30-3)/2),0)</f>
        <v>0</v>
      </c>
      <c r="K30" s="165"/>
      <c r="L30" s="231"/>
      <c r="M30" s="205"/>
      <c r="N30" s="232"/>
      <c r="O30" s="232"/>
      <c r="P30" s="186"/>
      <c r="Q30" s="163"/>
      <c r="R30" s="163"/>
      <c r="S30" s="163"/>
      <c r="T30" s="163"/>
      <c r="U30" s="204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259"/>
    </row>
    <row r="31" customHeight="1" spans="2:37">
      <c r="B31" s="203"/>
      <c r="C31" s="201"/>
      <c r="D31" s="165"/>
      <c r="E31" s="205"/>
      <c r="F31" s="165"/>
      <c r="G31" s="165"/>
      <c r="H31" s="165"/>
      <c r="I31" s="165"/>
      <c r="J31" s="165"/>
      <c r="K31" s="165"/>
      <c r="L31" s="231"/>
      <c r="M31" s="205"/>
      <c r="N31" s="232"/>
      <c r="O31" s="232"/>
      <c r="P31" s="231"/>
      <c r="Q31" s="232"/>
      <c r="R31" s="232"/>
      <c r="S31" s="232"/>
      <c r="T31" s="232"/>
      <c r="U31" s="205"/>
      <c r="V31" s="165"/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  <c r="AI31" s="165"/>
      <c r="AJ31" s="165"/>
      <c r="AK31" s="260"/>
    </row>
    <row r="32" customHeight="1" spans="2:37">
      <c r="B32" s="203"/>
      <c r="C32" s="201"/>
      <c r="D32" s="166" t="s">
        <v>77</v>
      </c>
      <c r="E32" s="204"/>
      <c r="F32" s="166">
        <f>L32+COUNTA(V32:AK33)</f>
        <v>1</v>
      </c>
      <c r="G32" s="166"/>
      <c r="H32" s="166">
        <f>F32+N32</f>
        <v>1</v>
      </c>
      <c r="I32" s="166"/>
      <c r="J32" s="166">
        <f>IF(F32&gt;=5,INT((F32-3)/2),0)</f>
        <v>0</v>
      </c>
      <c r="K32" s="166"/>
      <c r="L32" s="186">
        <v>1</v>
      </c>
      <c r="M32" s="204"/>
      <c r="N32" s="163"/>
      <c r="O32" s="163"/>
      <c r="P32" s="186"/>
      <c r="Q32" s="163"/>
      <c r="R32" s="163"/>
      <c r="S32" s="163"/>
      <c r="T32" s="163"/>
      <c r="U32" s="204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259"/>
    </row>
    <row r="33" customHeight="1" spans="2:37">
      <c r="B33" s="203"/>
      <c r="C33" s="201"/>
      <c r="D33" s="166"/>
      <c r="E33" s="204"/>
      <c r="F33" s="166"/>
      <c r="G33" s="166"/>
      <c r="H33" s="166"/>
      <c r="I33" s="166"/>
      <c r="J33" s="166"/>
      <c r="K33" s="166"/>
      <c r="L33" s="186"/>
      <c r="M33" s="204"/>
      <c r="N33" s="163"/>
      <c r="O33" s="163"/>
      <c r="P33" s="231"/>
      <c r="Q33" s="232"/>
      <c r="R33" s="232"/>
      <c r="S33" s="232"/>
      <c r="T33" s="232"/>
      <c r="U33" s="205"/>
      <c r="V33" s="234"/>
      <c r="W33" s="234"/>
      <c r="X33" s="234"/>
      <c r="Y33" s="234"/>
      <c r="Z33" s="234"/>
      <c r="AA33" s="234"/>
      <c r="AB33" s="234"/>
      <c r="AC33" s="234"/>
      <c r="AD33" s="234"/>
      <c r="AE33" s="234"/>
      <c r="AF33" s="234"/>
      <c r="AG33" s="234"/>
      <c r="AH33" s="234"/>
      <c r="AI33" s="234"/>
      <c r="AJ33" s="234"/>
      <c r="AK33" s="258"/>
    </row>
    <row r="34" customHeight="1" spans="2:37">
      <c r="B34" s="203"/>
      <c r="C34" s="201"/>
      <c r="D34" s="165" t="s">
        <v>78</v>
      </c>
      <c r="E34" s="205"/>
      <c r="F34" s="165">
        <f>L34+COUNTA(V34:AK35)</f>
        <v>0</v>
      </c>
      <c r="G34" s="165"/>
      <c r="H34" s="165">
        <f>F34+N34</f>
        <v>0</v>
      </c>
      <c r="I34" s="165"/>
      <c r="J34" s="165">
        <f>IF(F34&gt;=5,INT((F34-3)/2),0)</f>
        <v>0</v>
      </c>
      <c r="K34" s="165"/>
      <c r="L34" s="231"/>
      <c r="M34" s="205"/>
      <c r="N34" s="232"/>
      <c r="O34" s="232"/>
      <c r="P34" s="186"/>
      <c r="Q34" s="163"/>
      <c r="R34" s="163"/>
      <c r="S34" s="163"/>
      <c r="T34" s="163"/>
      <c r="U34" s="204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259"/>
    </row>
    <row r="35" customHeight="1" spans="2:37">
      <c r="B35" s="203"/>
      <c r="C35" s="201"/>
      <c r="D35" s="165"/>
      <c r="E35" s="205"/>
      <c r="F35" s="165"/>
      <c r="G35" s="165"/>
      <c r="H35" s="165"/>
      <c r="I35" s="165"/>
      <c r="J35" s="165"/>
      <c r="K35" s="165"/>
      <c r="L35" s="231"/>
      <c r="M35" s="205"/>
      <c r="N35" s="232"/>
      <c r="O35" s="232"/>
      <c r="P35" s="231"/>
      <c r="Q35" s="232"/>
      <c r="R35" s="232"/>
      <c r="S35" s="232"/>
      <c r="T35" s="232"/>
      <c r="U35" s="20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260"/>
    </row>
    <row r="36" customHeight="1" spans="2:37">
      <c r="B36" s="203"/>
      <c r="C36" s="201"/>
      <c r="D36" s="166" t="s">
        <v>79</v>
      </c>
      <c r="E36" s="204"/>
      <c r="F36" s="166">
        <f>L36+COUNTA(V36:AK37)</f>
        <v>0</v>
      </c>
      <c r="G36" s="166"/>
      <c r="H36" s="166">
        <f>F36+N36</f>
        <v>0</v>
      </c>
      <c r="I36" s="166"/>
      <c r="J36" s="166">
        <f>IF(F36&gt;=5,INT((F36-3)/2),0)</f>
        <v>0</v>
      </c>
      <c r="K36" s="166"/>
      <c r="L36" s="186"/>
      <c r="M36" s="204"/>
      <c r="N36" s="163"/>
      <c r="O36" s="163"/>
      <c r="P36" s="186"/>
      <c r="Q36" s="163"/>
      <c r="R36" s="163"/>
      <c r="S36" s="163"/>
      <c r="T36" s="163"/>
      <c r="U36" s="204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259"/>
    </row>
    <row r="37" customHeight="1" spans="2:37">
      <c r="B37" s="203"/>
      <c r="C37" s="201"/>
      <c r="D37" s="166"/>
      <c r="E37" s="204"/>
      <c r="F37" s="166"/>
      <c r="G37" s="166"/>
      <c r="H37" s="166"/>
      <c r="I37" s="166"/>
      <c r="J37" s="166"/>
      <c r="K37" s="166"/>
      <c r="L37" s="186"/>
      <c r="M37" s="204"/>
      <c r="N37" s="163"/>
      <c r="O37" s="163"/>
      <c r="P37" s="231"/>
      <c r="Q37" s="232"/>
      <c r="R37" s="232"/>
      <c r="S37" s="232"/>
      <c r="T37" s="232"/>
      <c r="U37" s="205"/>
      <c r="V37" s="234"/>
      <c r="W37" s="234"/>
      <c r="X37" s="234"/>
      <c r="Y37" s="234"/>
      <c r="Z37" s="234"/>
      <c r="AA37" s="234"/>
      <c r="AB37" s="234"/>
      <c r="AC37" s="234"/>
      <c r="AD37" s="234"/>
      <c r="AE37" s="234"/>
      <c r="AF37" s="234"/>
      <c r="AG37" s="234"/>
      <c r="AH37" s="234"/>
      <c r="AI37" s="234"/>
      <c r="AJ37" s="234"/>
      <c r="AK37" s="258"/>
    </row>
    <row r="38" customHeight="1" spans="2:37">
      <c r="B38" s="203"/>
      <c r="C38" s="201"/>
      <c r="D38" s="165" t="s">
        <v>80</v>
      </c>
      <c r="E38" s="205"/>
      <c r="F38" s="165">
        <f>L38+COUNTA(V38:AK39)</f>
        <v>1</v>
      </c>
      <c r="G38" s="165"/>
      <c r="H38" s="165">
        <f>F38+N38</f>
        <v>1</v>
      </c>
      <c r="I38" s="165"/>
      <c r="J38" s="165">
        <f>IF(F38&gt;=5,INT((F38-3)/2),0)</f>
        <v>0</v>
      </c>
      <c r="K38" s="165"/>
      <c r="L38" s="231">
        <v>1</v>
      </c>
      <c r="M38" s="205"/>
      <c r="N38" s="232"/>
      <c r="O38" s="232"/>
      <c r="P38" s="186"/>
      <c r="Q38" s="163"/>
      <c r="R38" s="163"/>
      <c r="S38" s="163"/>
      <c r="T38" s="163"/>
      <c r="U38" s="204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259"/>
    </row>
    <row r="39" customHeight="1" spans="2:37">
      <c r="B39" s="203"/>
      <c r="C39" s="201"/>
      <c r="D39" s="165"/>
      <c r="E39" s="205"/>
      <c r="F39" s="165"/>
      <c r="G39" s="165"/>
      <c r="H39" s="165"/>
      <c r="I39" s="165"/>
      <c r="J39" s="165"/>
      <c r="K39" s="165"/>
      <c r="L39" s="231"/>
      <c r="M39" s="205"/>
      <c r="N39" s="232"/>
      <c r="O39" s="232"/>
      <c r="P39" s="231"/>
      <c r="Q39" s="232"/>
      <c r="R39" s="232"/>
      <c r="S39" s="232"/>
      <c r="T39" s="232"/>
      <c r="U39" s="20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260"/>
    </row>
    <row r="40" customHeight="1" spans="2:37">
      <c r="B40" s="203"/>
      <c r="C40" s="201"/>
      <c r="D40" s="166" t="s">
        <v>81</v>
      </c>
      <c r="E40" s="204"/>
      <c r="F40" s="166">
        <f>L40+COUNTA(V40:AK41)</f>
        <v>0</v>
      </c>
      <c r="G40" s="166"/>
      <c r="H40" s="166">
        <f>F40+N40</f>
        <v>0</v>
      </c>
      <c r="I40" s="166"/>
      <c r="J40" s="166">
        <f>IF(F40&gt;=5,INT((F40-3)/2),0)</f>
        <v>0</v>
      </c>
      <c r="K40" s="166"/>
      <c r="L40" s="186"/>
      <c r="M40" s="204"/>
      <c r="N40" s="163"/>
      <c r="O40" s="163"/>
      <c r="P40" s="186"/>
      <c r="Q40" s="163"/>
      <c r="R40" s="163"/>
      <c r="S40" s="163"/>
      <c r="T40" s="163"/>
      <c r="U40" s="204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259"/>
    </row>
    <row r="41" customHeight="1" spans="2:37">
      <c r="B41" s="203"/>
      <c r="C41" s="201"/>
      <c r="D41" s="166"/>
      <c r="E41" s="204"/>
      <c r="F41" s="166"/>
      <c r="G41" s="166"/>
      <c r="H41" s="166"/>
      <c r="I41" s="166"/>
      <c r="J41" s="166"/>
      <c r="K41" s="166"/>
      <c r="L41" s="186"/>
      <c r="M41" s="204"/>
      <c r="N41" s="163"/>
      <c r="O41" s="163"/>
      <c r="P41" s="231"/>
      <c r="Q41" s="232"/>
      <c r="R41" s="232"/>
      <c r="S41" s="232"/>
      <c r="T41" s="232"/>
      <c r="U41" s="205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4"/>
      <c r="AK41" s="258"/>
    </row>
    <row r="42" customHeight="1" spans="2:37">
      <c r="B42" s="203"/>
      <c r="C42" s="201"/>
      <c r="D42" s="165" t="s">
        <v>82</v>
      </c>
      <c r="E42" s="205"/>
      <c r="F42" s="165">
        <f>L42+COUNTA(V42:AK43)</f>
        <v>2</v>
      </c>
      <c r="G42" s="165"/>
      <c r="H42" s="165">
        <f>F42+N42</f>
        <v>2</v>
      </c>
      <c r="I42" s="165"/>
      <c r="J42" s="165">
        <f>IF(F42&gt;=5,INT((F42-3)/2),0)</f>
        <v>0</v>
      </c>
      <c r="K42" s="165"/>
      <c r="L42" s="231">
        <v>2</v>
      </c>
      <c r="M42" s="205"/>
      <c r="N42" s="232"/>
      <c r="O42" s="232"/>
      <c r="P42" s="186"/>
      <c r="Q42" s="163"/>
      <c r="R42" s="163"/>
      <c r="S42" s="163"/>
      <c r="T42" s="163"/>
      <c r="U42" s="204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259"/>
    </row>
    <row r="43" customHeight="1" spans="2:37">
      <c r="B43" s="203"/>
      <c r="C43" s="201"/>
      <c r="D43" s="206"/>
      <c r="E43" s="207"/>
      <c r="F43" s="206"/>
      <c r="G43" s="206"/>
      <c r="H43" s="206"/>
      <c r="I43" s="206"/>
      <c r="J43" s="206"/>
      <c r="K43" s="206"/>
      <c r="L43" s="233"/>
      <c r="M43" s="207"/>
      <c r="N43" s="206"/>
      <c r="O43" s="206"/>
      <c r="P43" s="233"/>
      <c r="Q43" s="206"/>
      <c r="R43" s="206"/>
      <c r="S43" s="206"/>
      <c r="T43" s="206"/>
      <c r="U43" s="207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61"/>
    </row>
    <row r="44" customHeight="1" spans="2:37">
      <c r="B44" s="200" t="s">
        <v>83</v>
      </c>
      <c r="C44" s="201"/>
      <c r="D44" s="166" t="s">
        <v>84</v>
      </c>
      <c r="E44" s="204"/>
      <c r="F44" s="166">
        <f>L44+COUNTA(V44:AK45)</f>
        <v>1</v>
      </c>
      <c r="G44" s="166"/>
      <c r="H44" s="166">
        <f>F44+N44</f>
        <v>1</v>
      </c>
      <c r="I44" s="166"/>
      <c r="J44" s="166">
        <f>IF(F44&gt;=5,INT((F44-3)/2),0)</f>
        <v>0</v>
      </c>
      <c r="K44" s="166"/>
      <c r="L44" s="186">
        <v>1</v>
      </c>
      <c r="M44" s="204"/>
      <c r="N44" s="163"/>
      <c r="O44" s="163"/>
      <c r="P44" s="186"/>
      <c r="Q44" s="163"/>
      <c r="R44" s="163"/>
      <c r="S44" s="163"/>
      <c r="T44" s="163"/>
      <c r="U44" s="204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259"/>
    </row>
    <row r="45" customHeight="1" spans="2:37">
      <c r="B45" s="203"/>
      <c r="C45" s="201"/>
      <c r="D45" s="166"/>
      <c r="E45" s="204"/>
      <c r="F45" s="166"/>
      <c r="G45" s="166"/>
      <c r="H45" s="166"/>
      <c r="I45" s="166"/>
      <c r="J45" s="166"/>
      <c r="K45" s="166"/>
      <c r="L45" s="186"/>
      <c r="M45" s="204"/>
      <c r="N45" s="163"/>
      <c r="O45" s="163"/>
      <c r="P45" s="231"/>
      <c r="Q45" s="232"/>
      <c r="R45" s="232"/>
      <c r="S45" s="232"/>
      <c r="T45" s="232"/>
      <c r="U45" s="205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  <c r="AJ45" s="234"/>
      <c r="AK45" s="258"/>
    </row>
    <row r="46" customHeight="1" spans="2:37">
      <c r="B46" s="203"/>
      <c r="C46" s="201"/>
      <c r="D46" s="165" t="s">
        <v>85</v>
      </c>
      <c r="E46" s="205"/>
      <c r="F46" s="165">
        <f>L46+COUNTA(V46:AK47)</f>
        <v>0</v>
      </c>
      <c r="G46" s="165"/>
      <c r="H46" s="165">
        <f>F46+N46</f>
        <v>0</v>
      </c>
      <c r="I46" s="165"/>
      <c r="J46" s="165">
        <f>IF(F46&gt;=5,INT((F46-3)/2),0)</f>
        <v>0</v>
      </c>
      <c r="K46" s="165"/>
      <c r="L46" s="231"/>
      <c r="M46" s="205"/>
      <c r="N46" s="232"/>
      <c r="O46" s="232"/>
      <c r="P46" s="186"/>
      <c r="Q46" s="163"/>
      <c r="R46" s="163"/>
      <c r="S46" s="163"/>
      <c r="T46" s="163"/>
      <c r="U46" s="204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259"/>
    </row>
    <row r="47" customHeight="1" spans="2:37">
      <c r="B47" s="203"/>
      <c r="C47" s="201"/>
      <c r="D47" s="165"/>
      <c r="E47" s="205"/>
      <c r="F47" s="165"/>
      <c r="G47" s="165"/>
      <c r="H47" s="165"/>
      <c r="I47" s="165"/>
      <c r="J47" s="165"/>
      <c r="K47" s="165"/>
      <c r="L47" s="231"/>
      <c r="M47" s="205"/>
      <c r="N47" s="232"/>
      <c r="O47" s="232"/>
      <c r="P47" s="231"/>
      <c r="Q47" s="232"/>
      <c r="R47" s="232"/>
      <c r="S47" s="232"/>
      <c r="T47" s="232"/>
      <c r="U47" s="205"/>
      <c r="V47" s="165"/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  <c r="AI47" s="165"/>
      <c r="AJ47" s="165"/>
      <c r="AK47" s="260"/>
    </row>
    <row r="48" customHeight="1" spans="2:37">
      <c r="B48" s="203"/>
      <c r="C48" s="201"/>
      <c r="D48" s="166" t="s">
        <v>86</v>
      </c>
      <c r="E48" s="204"/>
      <c r="F48" s="166">
        <f>L48+COUNTA(V48:AK49)</f>
        <v>0</v>
      </c>
      <c r="G48" s="166"/>
      <c r="H48" s="166">
        <f>F48+N48</f>
        <v>0</v>
      </c>
      <c r="I48" s="166"/>
      <c r="J48" s="166">
        <f>IF(F48&gt;=5,INT((F48-3)/2),0)</f>
        <v>0</v>
      </c>
      <c r="K48" s="166"/>
      <c r="L48" s="186"/>
      <c r="M48" s="204"/>
      <c r="N48" s="163"/>
      <c r="O48" s="163"/>
      <c r="P48" s="186"/>
      <c r="Q48" s="163"/>
      <c r="R48" s="163"/>
      <c r="S48" s="163"/>
      <c r="T48" s="163"/>
      <c r="U48" s="204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259"/>
    </row>
    <row r="49" customHeight="1" spans="2:37">
      <c r="B49" s="203"/>
      <c r="C49" s="201"/>
      <c r="D49" s="166"/>
      <c r="E49" s="204"/>
      <c r="F49" s="166"/>
      <c r="G49" s="166"/>
      <c r="H49" s="166"/>
      <c r="I49" s="166"/>
      <c r="J49" s="166"/>
      <c r="K49" s="166"/>
      <c r="L49" s="186"/>
      <c r="M49" s="204"/>
      <c r="N49" s="163"/>
      <c r="O49" s="163"/>
      <c r="P49" s="231"/>
      <c r="Q49" s="232"/>
      <c r="R49" s="232"/>
      <c r="S49" s="232"/>
      <c r="T49" s="232"/>
      <c r="U49" s="205"/>
      <c r="V49" s="234"/>
      <c r="W49" s="234"/>
      <c r="X49" s="234"/>
      <c r="Y49" s="234"/>
      <c r="Z49" s="234"/>
      <c r="AA49" s="234"/>
      <c r="AB49" s="234"/>
      <c r="AC49" s="234"/>
      <c r="AD49" s="234"/>
      <c r="AE49" s="234"/>
      <c r="AF49" s="234"/>
      <c r="AG49" s="234"/>
      <c r="AH49" s="234"/>
      <c r="AI49" s="234"/>
      <c r="AJ49" s="234"/>
      <c r="AK49" s="258"/>
    </row>
    <row r="50" customHeight="1" spans="2:37">
      <c r="B50" s="203"/>
      <c r="C50" s="201"/>
      <c r="D50" s="165" t="s">
        <v>87</v>
      </c>
      <c r="E50" s="205"/>
      <c r="F50" s="165">
        <f>L50+COUNTA(V50:AK51)</f>
        <v>0</v>
      </c>
      <c r="G50" s="165"/>
      <c r="H50" s="165">
        <f>F50+N50</f>
        <v>0</v>
      </c>
      <c r="I50" s="165"/>
      <c r="J50" s="165">
        <f>IF(F50&gt;=5,INT((F50-3)/2),0)</f>
        <v>0</v>
      </c>
      <c r="K50" s="165"/>
      <c r="L50" s="231"/>
      <c r="M50" s="205"/>
      <c r="N50" s="232"/>
      <c r="O50" s="232"/>
      <c r="P50" s="186"/>
      <c r="Q50" s="163"/>
      <c r="R50" s="163"/>
      <c r="S50" s="163"/>
      <c r="T50" s="163"/>
      <c r="U50" s="204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259"/>
    </row>
    <row r="51" customHeight="1" spans="2:37">
      <c r="B51" s="203"/>
      <c r="C51" s="201"/>
      <c r="D51" s="165"/>
      <c r="E51" s="205"/>
      <c r="F51" s="165"/>
      <c r="G51" s="165"/>
      <c r="H51" s="165"/>
      <c r="I51" s="165"/>
      <c r="J51" s="165"/>
      <c r="K51" s="165"/>
      <c r="L51" s="231"/>
      <c r="M51" s="205"/>
      <c r="N51" s="232"/>
      <c r="O51" s="232"/>
      <c r="P51" s="231"/>
      <c r="Q51" s="232"/>
      <c r="R51" s="232"/>
      <c r="S51" s="232"/>
      <c r="T51" s="232"/>
      <c r="U51" s="205"/>
      <c r="V51" s="165"/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  <c r="AI51" s="165"/>
      <c r="AJ51" s="165"/>
      <c r="AK51" s="260"/>
    </row>
    <row r="52" customHeight="1" spans="2:37">
      <c r="B52" s="203"/>
      <c r="C52" s="201"/>
      <c r="D52" s="166" t="s">
        <v>88</v>
      </c>
      <c r="E52" s="204"/>
      <c r="F52" s="166">
        <f>L52+COUNTA(V52:AK53)</f>
        <v>4</v>
      </c>
      <c r="G52" s="166"/>
      <c r="H52" s="166">
        <f>F52+N52</f>
        <v>4</v>
      </c>
      <c r="I52" s="166"/>
      <c r="J52" s="166">
        <f>IF(F52&gt;=5,INT((F52-3)/2),0)</f>
        <v>0</v>
      </c>
      <c r="K52" s="166"/>
      <c r="L52" s="186">
        <v>4</v>
      </c>
      <c r="M52" s="204"/>
      <c r="N52" s="163"/>
      <c r="O52" s="163"/>
      <c r="P52" s="186"/>
      <c r="Q52" s="163"/>
      <c r="R52" s="163"/>
      <c r="S52" s="163"/>
      <c r="T52" s="163"/>
      <c r="U52" s="204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259"/>
    </row>
    <row r="53" customHeight="1" spans="2:37">
      <c r="B53" s="203"/>
      <c r="C53" s="201"/>
      <c r="D53" s="166"/>
      <c r="E53" s="204"/>
      <c r="F53" s="166"/>
      <c r="G53" s="166"/>
      <c r="H53" s="166"/>
      <c r="I53" s="166"/>
      <c r="J53" s="166"/>
      <c r="K53" s="166"/>
      <c r="L53" s="186"/>
      <c r="M53" s="204"/>
      <c r="N53" s="163"/>
      <c r="O53" s="163"/>
      <c r="P53" s="231"/>
      <c r="Q53" s="232"/>
      <c r="R53" s="232"/>
      <c r="S53" s="232"/>
      <c r="T53" s="232"/>
      <c r="U53" s="205"/>
      <c r="V53" s="234"/>
      <c r="W53" s="234"/>
      <c r="X53" s="234"/>
      <c r="Y53" s="234"/>
      <c r="Z53" s="234"/>
      <c r="AA53" s="234"/>
      <c r="AB53" s="234"/>
      <c r="AC53" s="234"/>
      <c r="AD53" s="234"/>
      <c r="AE53" s="234"/>
      <c r="AF53" s="234"/>
      <c r="AG53" s="234"/>
      <c r="AH53" s="234"/>
      <c r="AI53" s="234"/>
      <c r="AJ53" s="234"/>
      <c r="AK53" s="258"/>
    </row>
    <row r="54" customHeight="1" spans="2:37">
      <c r="B54" s="203"/>
      <c r="C54" s="201"/>
      <c r="D54" s="165" t="s">
        <v>89</v>
      </c>
      <c r="E54" s="205"/>
      <c r="F54" s="165">
        <f>L54+COUNTA(V54:AK55)</f>
        <v>2</v>
      </c>
      <c r="G54" s="165"/>
      <c r="H54" s="165">
        <f>F54+N54</f>
        <v>2</v>
      </c>
      <c r="I54" s="165"/>
      <c r="J54" s="165">
        <f>IF(F54&gt;=5,INT((F54-3)/2),0)</f>
        <v>0</v>
      </c>
      <c r="K54" s="165"/>
      <c r="L54" s="231">
        <v>2</v>
      </c>
      <c r="M54" s="205"/>
      <c r="N54" s="232"/>
      <c r="O54" s="232"/>
      <c r="P54" s="186"/>
      <c r="Q54" s="163"/>
      <c r="R54" s="163"/>
      <c r="S54" s="163"/>
      <c r="T54" s="163"/>
      <c r="U54" s="204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259"/>
    </row>
    <row r="55" customHeight="1" spans="2:37">
      <c r="B55" s="203"/>
      <c r="C55" s="201"/>
      <c r="D55" s="165"/>
      <c r="E55" s="205"/>
      <c r="F55" s="165"/>
      <c r="G55" s="165"/>
      <c r="H55" s="165"/>
      <c r="I55" s="165"/>
      <c r="J55" s="165"/>
      <c r="K55" s="165"/>
      <c r="L55" s="231"/>
      <c r="M55" s="205"/>
      <c r="N55" s="232"/>
      <c r="O55" s="232"/>
      <c r="P55" s="231"/>
      <c r="Q55" s="232"/>
      <c r="R55" s="232"/>
      <c r="S55" s="232"/>
      <c r="T55" s="232"/>
      <c r="U55" s="205"/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  <c r="AI55" s="165"/>
      <c r="AJ55" s="165"/>
      <c r="AK55" s="260"/>
    </row>
    <row r="56" customHeight="1" spans="2:37">
      <c r="B56" s="203"/>
      <c r="C56" s="201"/>
      <c r="D56" s="166" t="s">
        <v>90</v>
      </c>
      <c r="E56" s="204"/>
      <c r="F56" s="166">
        <f>L56+COUNTA(V56:AK57)</f>
        <v>0</v>
      </c>
      <c r="G56" s="166"/>
      <c r="H56" s="166">
        <f>F56+N56</f>
        <v>0</v>
      </c>
      <c r="I56" s="166"/>
      <c r="J56" s="166">
        <f>IF(F56&gt;=5,INT((F56-3)/2),0)</f>
        <v>0</v>
      </c>
      <c r="K56" s="166"/>
      <c r="L56" s="186"/>
      <c r="M56" s="204"/>
      <c r="N56" s="163"/>
      <c r="O56" s="163"/>
      <c r="P56" s="186"/>
      <c r="Q56" s="163"/>
      <c r="R56" s="163"/>
      <c r="S56" s="163"/>
      <c r="T56" s="163"/>
      <c r="U56" s="204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  <c r="AG56" s="166"/>
      <c r="AH56" s="166"/>
      <c r="AI56" s="166"/>
      <c r="AJ56" s="166"/>
      <c r="AK56" s="259"/>
    </row>
    <row r="57" customHeight="1" spans="2:37">
      <c r="B57" s="203"/>
      <c r="C57" s="201"/>
      <c r="D57" s="166"/>
      <c r="E57" s="204"/>
      <c r="F57" s="166"/>
      <c r="G57" s="166"/>
      <c r="H57" s="166"/>
      <c r="I57" s="166"/>
      <c r="J57" s="166"/>
      <c r="K57" s="166"/>
      <c r="L57" s="186"/>
      <c r="M57" s="204"/>
      <c r="N57" s="163"/>
      <c r="O57" s="163"/>
      <c r="P57" s="231"/>
      <c r="Q57" s="232"/>
      <c r="R57" s="232"/>
      <c r="S57" s="232"/>
      <c r="T57" s="232"/>
      <c r="U57" s="205"/>
      <c r="V57" s="234"/>
      <c r="W57" s="234"/>
      <c r="X57" s="234"/>
      <c r="Y57" s="234"/>
      <c r="Z57" s="234"/>
      <c r="AA57" s="234"/>
      <c r="AB57" s="234"/>
      <c r="AC57" s="234"/>
      <c r="AD57" s="234"/>
      <c r="AE57" s="234"/>
      <c r="AF57" s="234"/>
      <c r="AG57" s="234"/>
      <c r="AH57" s="234"/>
      <c r="AI57" s="234"/>
      <c r="AJ57" s="234"/>
      <c r="AK57" s="258"/>
    </row>
    <row r="58" customHeight="1" spans="2:37">
      <c r="B58" s="203"/>
      <c r="C58" s="201"/>
      <c r="D58" s="165" t="s">
        <v>90</v>
      </c>
      <c r="E58" s="205"/>
      <c r="F58" s="165">
        <f>L58+COUNTA(V58:AK59)</f>
        <v>0</v>
      </c>
      <c r="G58" s="165"/>
      <c r="H58" s="165">
        <f>F58+N58</f>
        <v>0</v>
      </c>
      <c r="I58" s="165"/>
      <c r="J58" s="165">
        <f>IF(F58&gt;=5,INT((F58-3)/2),0)</f>
        <v>0</v>
      </c>
      <c r="K58" s="165"/>
      <c r="L58" s="231"/>
      <c r="M58" s="205"/>
      <c r="N58" s="232"/>
      <c r="O58" s="232"/>
      <c r="P58" s="186"/>
      <c r="Q58" s="163"/>
      <c r="R58" s="163"/>
      <c r="S58" s="163"/>
      <c r="T58" s="163"/>
      <c r="U58" s="204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259"/>
    </row>
    <row r="59" customHeight="1" spans="2:37">
      <c r="B59" s="203"/>
      <c r="C59" s="201"/>
      <c r="D59" s="165"/>
      <c r="E59" s="205"/>
      <c r="F59" s="165"/>
      <c r="G59" s="165"/>
      <c r="H59" s="165"/>
      <c r="I59" s="165"/>
      <c r="J59" s="165"/>
      <c r="K59" s="165"/>
      <c r="L59" s="231"/>
      <c r="M59" s="205"/>
      <c r="N59" s="206"/>
      <c r="O59" s="206"/>
      <c r="P59" s="231"/>
      <c r="Q59" s="232"/>
      <c r="R59" s="232"/>
      <c r="S59" s="232"/>
      <c r="T59" s="232"/>
      <c r="U59" s="205"/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  <c r="AI59" s="165"/>
      <c r="AJ59" s="165"/>
      <c r="AK59" s="260"/>
    </row>
    <row r="60" customHeight="1" spans="2:37">
      <c r="B60" s="200" t="s">
        <v>91</v>
      </c>
      <c r="C60" s="201"/>
      <c r="D60" s="175" t="s">
        <v>92</v>
      </c>
      <c r="E60" s="202"/>
      <c r="F60" s="175">
        <f>L60+COUNTA(V60:AK61)</f>
        <v>0</v>
      </c>
      <c r="G60" s="175"/>
      <c r="H60" s="175">
        <f>F60+N60</f>
        <v>0</v>
      </c>
      <c r="I60" s="175"/>
      <c r="J60" s="175">
        <f>IF(F60&gt;=5,INT((F60-3)/2),0)</f>
        <v>0</v>
      </c>
      <c r="K60" s="175"/>
      <c r="L60" s="174"/>
      <c r="M60" s="202"/>
      <c r="N60" s="163"/>
      <c r="O60" s="163"/>
      <c r="P60" s="174"/>
      <c r="Q60" s="175"/>
      <c r="R60" s="175"/>
      <c r="S60" s="175"/>
      <c r="T60" s="175"/>
      <c r="U60" s="202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257"/>
    </row>
    <row r="61" customHeight="1" spans="2:37">
      <c r="B61" s="203"/>
      <c r="C61" s="201"/>
      <c r="D61" s="166"/>
      <c r="E61" s="204"/>
      <c r="F61" s="166"/>
      <c r="G61" s="166"/>
      <c r="H61" s="166"/>
      <c r="I61" s="166"/>
      <c r="J61" s="166"/>
      <c r="K61" s="166"/>
      <c r="L61" s="186"/>
      <c r="M61" s="204"/>
      <c r="N61" s="163"/>
      <c r="O61" s="163"/>
      <c r="P61" s="231"/>
      <c r="Q61" s="232"/>
      <c r="R61" s="232"/>
      <c r="S61" s="232"/>
      <c r="T61" s="232"/>
      <c r="U61" s="205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58"/>
    </row>
    <row r="62" customHeight="1" spans="2:37">
      <c r="B62" s="203"/>
      <c r="C62" s="201"/>
      <c r="D62" s="165" t="s">
        <v>93</v>
      </c>
      <c r="E62" s="205"/>
      <c r="F62" s="165">
        <f>L62+COUNTA(V62:AK63)</f>
        <v>2</v>
      </c>
      <c r="G62" s="165"/>
      <c r="H62" s="165">
        <f>F62+N62</f>
        <v>2</v>
      </c>
      <c r="I62" s="165"/>
      <c r="J62" s="165">
        <f>IF(F62&gt;=5,INT((F62-3)/2),0)</f>
        <v>0</v>
      </c>
      <c r="K62" s="165"/>
      <c r="L62" s="231">
        <v>2</v>
      </c>
      <c r="M62" s="205"/>
      <c r="N62" s="232"/>
      <c r="O62" s="232"/>
      <c r="P62" s="186"/>
      <c r="Q62" s="163"/>
      <c r="R62" s="163"/>
      <c r="S62" s="163"/>
      <c r="T62" s="163"/>
      <c r="U62" s="204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259"/>
    </row>
    <row r="63" customHeight="1" spans="2:37">
      <c r="B63" s="203"/>
      <c r="C63" s="201"/>
      <c r="D63" s="165"/>
      <c r="E63" s="205"/>
      <c r="F63" s="165"/>
      <c r="G63" s="165"/>
      <c r="H63" s="165"/>
      <c r="I63" s="165"/>
      <c r="J63" s="165"/>
      <c r="K63" s="165"/>
      <c r="L63" s="231"/>
      <c r="M63" s="205"/>
      <c r="N63" s="232"/>
      <c r="O63" s="232"/>
      <c r="P63" s="231"/>
      <c r="Q63" s="232"/>
      <c r="R63" s="232"/>
      <c r="S63" s="232"/>
      <c r="T63" s="232"/>
      <c r="U63" s="205"/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  <c r="AI63" s="165"/>
      <c r="AJ63" s="165"/>
      <c r="AK63" s="260"/>
    </row>
    <row r="64" customHeight="1" spans="2:37">
      <c r="B64" s="203"/>
      <c r="C64" s="201"/>
      <c r="D64" s="166" t="s">
        <v>94</v>
      </c>
      <c r="E64" s="204"/>
      <c r="F64" s="166">
        <f>L64+COUNTA(V64:AK65)</f>
        <v>0</v>
      </c>
      <c r="G64" s="166"/>
      <c r="H64" s="166">
        <f>F64+N64</f>
        <v>0</v>
      </c>
      <c r="I64" s="166"/>
      <c r="J64" s="166">
        <f>IF(F64&gt;=5,INT((F64-3)/2),0)</f>
        <v>0</v>
      </c>
      <c r="K64" s="166"/>
      <c r="L64" s="186"/>
      <c r="M64" s="204"/>
      <c r="N64" s="163"/>
      <c r="O64" s="163"/>
      <c r="P64" s="186"/>
      <c r="Q64" s="163"/>
      <c r="R64" s="163"/>
      <c r="S64" s="163"/>
      <c r="T64" s="163"/>
      <c r="U64" s="204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  <c r="AG64" s="166"/>
      <c r="AH64" s="166"/>
      <c r="AI64" s="166"/>
      <c r="AJ64" s="166"/>
      <c r="AK64" s="259"/>
    </row>
    <row r="65" customHeight="1" spans="2:37">
      <c r="B65" s="203"/>
      <c r="C65" s="201"/>
      <c r="D65" s="166"/>
      <c r="E65" s="204"/>
      <c r="F65" s="166"/>
      <c r="G65" s="166"/>
      <c r="H65" s="166"/>
      <c r="I65" s="166"/>
      <c r="J65" s="166"/>
      <c r="K65" s="166"/>
      <c r="L65" s="186"/>
      <c r="M65" s="204"/>
      <c r="N65" s="163"/>
      <c r="O65" s="163"/>
      <c r="P65" s="231"/>
      <c r="Q65" s="232"/>
      <c r="R65" s="232"/>
      <c r="S65" s="232"/>
      <c r="T65" s="232"/>
      <c r="U65" s="205"/>
      <c r="V65" s="234"/>
      <c r="W65" s="234"/>
      <c r="X65" s="234"/>
      <c r="Y65" s="234"/>
      <c r="Z65" s="234"/>
      <c r="AA65" s="234"/>
      <c r="AB65" s="234"/>
      <c r="AC65" s="234"/>
      <c r="AD65" s="234"/>
      <c r="AE65" s="234"/>
      <c r="AF65" s="234"/>
      <c r="AG65" s="234"/>
      <c r="AH65" s="234"/>
      <c r="AI65" s="234"/>
      <c r="AJ65" s="234"/>
      <c r="AK65" s="258"/>
    </row>
    <row r="66" customHeight="1" spans="2:37">
      <c r="B66" s="203"/>
      <c r="C66" s="201"/>
      <c r="D66" s="165" t="s">
        <v>95</v>
      </c>
      <c r="E66" s="205"/>
      <c r="F66" s="165">
        <f>L66+COUNTA(V66:AK67)</f>
        <v>2</v>
      </c>
      <c r="G66" s="165"/>
      <c r="H66" s="165">
        <f>F66+N66</f>
        <v>2</v>
      </c>
      <c r="I66" s="165"/>
      <c r="J66" s="165">
        <f>IF(F66&gt;=5,INT((F66-3)/2),0)</f>
        <v>0</v>
      </c>
      <c r="K66" s="165"/>
      <c r="L66" s="231">
        <v>2</v>
      </c>
      <c r="M66" s="205"/>
      <c r="N66" s="232"/>
      <c r="O66" s="232"/>
      <c r="P66" s="186"/>
      <c r="Q66" s="163"/>
      <c r="R66" s="163"/>
      <c r="S66" s="163"/>
      <c r="T66" s="163"/>
      <c r="U66" s="204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259"/>
    </row>
    <row r="67" customHeight="1" spans="2:37">
      <c r="B67" s="203"/>
      <c r="C67" s="201"/>
      <c r="D67" s="165"/>
      <c r="E67" s="205"/>
      <c r="F67" s="165"/>
      <c r="G67" s="165"/>
      <c r="H67" s="165"/>
      <c r="I67" s="165"/>
      <c r="J67" s="165"/>
      <c r="K67" s="165"/>
      <c r="L67" s="231"/>
      <c r="M67" s="205"/>
      <c r="N67" s="232"/>
      <c r="O67" s="232"/>
      <c r="P67" s="231"/>
      <c r="Q67" s="232"/>
      <c r="R67" s="232"/>
      <c r="S67" s="232"/>
      <c r="T67" s="232"/>
      <c r="U67" s="20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  <c r="AI67" s="165"/>
      <c r="AJ67" s="165"/>
      <c r="AK67" s="260"/>
    </row>
    <row r="68" customHeight="1" spans="2:37">
      <c r="B68" s="203"/>
      <c r="C68" s="201"/>
      <c r="D68" s="166" t="s">
        <v>96</v>
      </c>
      <c r="E68" s="204"/>
      <c r="F68" s="166">
        <f>L68+COUNTA(V68:AK69)</f>
        <v>0</v>
      </c>
      <c r="G68" s="166"/>
      <c r="H68" s="166">
        <f>F68+N68</f>
        <v>0</v>
      </c>
      <c r="I68" s="166"/>
      <c r="J68" s="166">
        <f>IF(F68&gt;=5,INT((F68-3)/2),0)</f>
        <v>0</v>
      </c>
      <c r="K68" s="166"/>
      <c r="L68" s="186"/>
      <c r="M68" s="204"/>
      <c r="N68" s="163"/>
      <c r="O68" s="163"/>
      <c r="P68" s="186"/>
      <c r="Q68" s="163"/>
      <c r="R68" s="163"/>
      <c r="S68" s="163"/>
      <c r="T68" s="163"/>
      <c r="U68" s="204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  <c r="AG68" s="166"/>
      <c r="AH68" s="166"/>
      <c r="AI68" s="166"/>
      <c r="AJ68" s="166"/>
      <c r="AK68" s="259"/>
    </row>
    <row r="69" customHeight="1" spans="2:37">
      <c r="B69" s="203"/>
      <c r="C69" s="201"/>
      <c r="D69" s="166"/>
      <c r="E69" s="204"/>
      <c r="F69" s="166"/>
      <c r="G69" s="166"/>
      <c r="H69" s="166"/>
      <c r="I69" s="166"/>
      <c r="J69" s="166"/>
      <c r="K69" s="166"/>
      <c r="L69" s="186"/>
      <c r="M69" s="204"/>
      <c r="N69" s="163"/>
      <c r="O69" s="163"/>
      <c r="P69" s="231"/>
      <c r="Q69" s="232"/>
      <c r="R69" s="232"/>
      <c r="S69" s="232"/>
      <c r="T69" s="232"/>
      <c r="U69" s="205"/>
      <c r="V69" s="234"/>
      <c r="W69" s="234"/>
      <c r="X69" s="234"/>
      <c r="Y69" s="234"/>
      <c r="Z69" s="234"/>
      <c r="AA69" s="234"/>
      <c r="AB69" s="234"/>
      <c r="AC69" s="234"/>
      <c r="AD69" s="234"/>
      <c r="AE69" s="234"/>
      <c r="AF69" s="234"/>
      <c r="AG69" s="234"/>
      <c r="AH69" s="234"/>
      <c r="AI69" s="234"/>
      <c r="AJ69" s="234"/>
      <c r="AK69" s="258"/>
    </row>
    <row r="70" customHeight="1" spans="2:37">
      <c r="B70" s="203"/>
      <c r="C70" s="201"/>
      <c r="D70" s="165" t="s">
        <v>97</v>
      </c>
      <c r="E70" s="205"/>
      <c r="F70" s="165">
        <f>L70+COUNTA(V70:AK71)</f>
        <v>2</v>
      </c>
      <c r="G70" s="165"/>
      <c r="H70" s="165">
        <f>F70+N70</f>
        <v>2</v>
      </c>
      <c r="I70" s="165"/>
      <c r="J70" s="165">
        <f>IF(F70&gt;=5,INT((F70-3)/2),0)</f>
        <v>0</v>
      </c>
      <c r="K70" s="165"/>
      <c r="L70" s="231">
        <v>2</v>
      </c>
      <c r="M70" s="205"/>
      <c r="N70" s="232"/>
      <c r="O70" s="232"/>
      <c r="P70" s="186"/>
      <c r="Q70" s="163"/>
      <c r="R70" s="163"/>
      <c r="S70" s="163"/>
      <c r="T70" s="163"/>
      <c r="U70" s="204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  <c r="AG70" s="166"/>
      <c r="AH70" s="166"/>
      <c r="AI70" s="166"/>
      <c r="AJ70" s="166"/>
      <c r="AK70" s="259"/>
    </row>
    <row r="71" customHeight="1" spans="2:37">
      <c r="B71" s="203"/>
      <c r="C71" s="201"/>
      <c r="D71" s="165"/>
      <c r="E71" s="205"/>
      <c r="F71" s="165"/>
      <c r="G71" s="165"/>
      <c r="H71" s="165"/>
      <c r="I71" s="165"/>
      <c r="J71" s="165"/>
      <c r="K71" s="165"/>
      <c r="L71" s="231"/>
      <c r="M71" s="205"/>
      <c r="N71" s="232"/>
      <c r="O71" s="232"/>
      <c r="P71" s="231"/>
      <c r="Q71" s="232"/>
      <c r="R71" s="232"/>
      <c r="S71" s="232"/>
      <c r="T71" s="232"/>
      <c r="U71" s="20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260"/>
    </row>
    <row r="72" customHeight="1" spans="2:37">
      <c r="B72" s="203"/>
      <c r="C72" s="201"/>
      <c r="D72" s="166" t="s">
        <v>97</v>
      </c>
      <c r="E72" s="204"/>
      <c r="F72" s="166">
        <f t="shared" ref="F72:F76" si="4">L72+COUNTA(V72:AK73)</f>
        <v>0</v>
      </c>
      <c r="G72" s="166"/>
      <c r="H72" s="166">
        <f t="shared" ref="H72:H76" si="5">F72+N72</f>
        <v>0</v>
      </c>
      <c r="I72" s="166"/>
      <c r="J72" s="166">
        <f t="shared" ref="J72:J76" si="6">IF(F72&gt;=5,INT((F72-3)/2),0)</f>
        <v>0</v>
      </c>
      <c r="K72" s="166"/>
      <c r="L72" s="186"/>
      <c r="M72" s="204"/>
      <c r="N72" s="163"/>
      <c r="O72" s="163"/>
      <c r="P72" s="186"/>
      <c r="Q72" s="163"/>
      <c r="R72" s="163"/>
      <c r="S72" s="163"/>
      <c r="T72" s="163"/>
      <c r="U72" s="204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  <c r="AG72" s="166"/>
      <c r="AH72" s="166"/>
      <c r="AI72" s="166"/>
      <c r="AJ72" s="166"/>
      <c r="AK72" s="259"/>
    </row>
    <row r="73" customHeight="1" spans="2:37">
      <c r="B73" s="203"/>
      <c r="C73" s="201"/>
      <c r="D73" s="182"/>
      <c r="E73" s="263"/>
      <c r="F73" s="182"/>
      <c r="G73" s="182"/>
      <c r="H73" s="182"/>
      <c r="I73" s="182"/>
      <c r="J73" s="182"/>
      <c r="K73" s="182"/>
      <c r="L73" s="181"/>
      <c r="M73" s="263"/>
      <c r="N73" s="182"/>
      <c r="O73" s="182"/>
      <c r="P73" s="233"/>
      <c r="Q73" s="206"/>
      <c r="R73" s="206"/>
      <c r="S73" s="206"/>
      <c r="T73" s="206"/>
      <c r="U73" s="207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5"/>
    </row>
    <row r="74" customHeight="1" spans="2:37">
      <c r="B74" s="200" t="s">
        <v>98</v>
      </c>
      <c r="C74" s="201"/>
      <c r="D74" s="165" t="s">
        <v>41</v>
      </c>
      <c r="E74" s="205"/>
      <c r="F74" s="165">
        <f t="shared" si="4"/>
        <v>0</v>
      </c>
      <c r="G74" s="165"/>
      <c r="H74" s="165">
        <f t="shared" si="5"/>
        <v>0</v>
      </c>
      <c r="I74" s="165"/>
      <c r="J74" s="165">
        <f t="shared" si="6"/>
        <v>0</v>
      </c>
      <c r="K74" s="165"/>
      <c r="L74" s="231"/>
      <c r="M74" s="205"/>
      <c r="N74" s="232"/>
      <c r="O74" s="232"/>
      <c r="P74" s="186"/>
      <c r="Q74" s="163"/>
      <c r="R74" s="163"/>
      <c r="S74" s="163"/>
      <c r="T74" s="163"/>
      <c r="U74" s="204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259"/>
    </row>
    <row r="75" customHeight="1" spans="2:37">
      <c r="B75" s="203"/>
      <c r="C75" s="201"/>
      <c r="D75" s="165"/>
      <c r="E75" s="205"/>
      <c r="F75" s="165"/>
      <c r="G75" s="165"/>
      <c r="H75" s="165"/>
      <c r="I75" s="165"/>
      <c r="J75" s="165"/>
      <c r="K75" s="165"/>
      <c r="L75" s="231"/>
      <c r="M75" s="205"/>
      <c r="N75" s="232"/>
      <c r="O75" s="232"/>
      <c r="P75" s="231"/>
      <c r="Q75" s="232"/>
      <c r="R75" s="232"/>
      <c r="S75" s="232"/>
      <c r="T75" s="232"/>
      <c r="U75" s="205"/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  <c r="AI75" s="165"/>
      <c r="AJ75" s="165"/>
      <c r="AK75" s="260"/>
    </row>
    <row r="76" customHeight="1" spans="2:37">
      <c r="B76" s="203"/>
      <c r="C76" s="201"/>
      <c r="D76" s="166" t="s">
        <v>41</v>
      </c>
      <c r="E76" s="204"/>
      <c r="F76" s="166">
        <f t="shared" si="4"/>
        <v>0</v>
      </c>
      <c r="G76" s="166"/>
      <c r="H76" s="166">
        <f t="shared" si="5"/>
        <v>0</v>
      </c>
      <c r="I76" s="166"/>
      <c r="J76" s="166">
        <f t="shared" si="6"/>
        <v>0</v>
      </c>
      <c r="K76" s="166"/>
      <c r="L76" s="186"/>
      <c r="M76" s="204"/>
      <c r="N76" s="163"/>
      <c r="O76" s="163"/>
      <c r="P76" s="186"/>
      <c r="Q76" s="163"/>
      <c r="R76" s="163"/>
      <c r="S76" s="163"/>
      <c r="T76" s="163"/>
      <c r="U76" s="204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259"/>
    </row>
    <row r="77" customHeight="1" spans="2:37">
      <c r="B77" s="264"/>
      <c r="C77" s="265"/>
      <c r="D77" s="168"/>
      <c r="E77" s="266"/>
      <c r="F77" s="168"/>
      <c r="G77" s="168"/>
      <c r="H77" s="168"/>
      <c r="I77" s="168"/>
      <c r="J77" s="168"/>
      <c r="K77" s="168"/>
      <c r="L77" s="194"/>
      <c r="M77" s="266"/>
      <c r="N77" s="168"/>
      <c r="O77" s="168"/>
      <c r="P77" s="270"/>
      <c r="Q77" s="272"/>
      <c r="R77" s="272"/>
      <c r="S77" s="272"/>
      <c r="T77" s="272"/>
      <c r="U77" s="273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6"/>
    </row>
    <row r="79" customHeight="1" spans="2:37">
      <c r="B79" s="63" t="s">
        <v>99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4"/>
    </row>
    <row r="80" customHeight="1" spans="2:41">
      <c r="B80" s="69" t="s">
        <v>100</v>
      </c>
      <c r="C80" s="267"/>
      <c r="D80" s="72" t="s">
        <v>101</v>
      </c>
      <c r="E80" s="72"/>
      <c r="F80" s="72" t="s">
        <v>102</v>
      </c>
      <c r="G80" s="72"/>
      <c r="H80" s="72" t="s">
        <v>47</v>
      </c>
      <c r="I80" s="72"/>
      <c r="J80" s="72" t="s">
        <v>49</v>
      </c>
      <c r="K80" s="72"/>
      <c r="L80" s="72" t="s">
        <v>41</v>
      </c>
      <c r="M80" s="72"/>
      <c r="N80" s="72" t="s">
        <v>41</v>
      </c>
      <c r="O80" s="72"/>
      <c r="P80" s="72" t="s">
        <v>41</v>
      </c>
      <c r="Q80" s="72"/>
      <c r="R80" s="72" t="s">
        <v>41</v>
      </c>
      <c r="S80" s="72"/>
      <c r="T80" s="72" t="s">
        <v>41</v>
      </c>
      <c r="U80" s="72"/>
      <c r="V80" s="72" t="s">
        <v>41</v>
      </c>
      <c r="W80" s="72"/>
      <c r="X80" s="72" t="s">
        <v>41</v>
      </c>
      <c r="Y80" s="72"/>
      <c r="Z80" s="72" t="s">
        <v>41</v>
      </c>
      <c r="AA80" s="72"/>
      <c r="AB80" s="72" t="s">
        <v>41</v>
      </c>
      <c r="AC80" s="72"/>
      <c r="AD80" s="72" t="s">
        <v>41</v>
      </c>
      <c r="AE80" s="72"/>
      <c r="AF80" s="72" t="s">
        <v>41</v>
      </c>
      <c r="AG80" s="72"/>
      <c r="AH80" s="72" t="s">
        <v>41</v>
      </c>
      <c r="AI80" s="72"/>
      <c r="AJ80" s="72" t="s">
        <v>41</v>
      </c>
      <c r="AK80" s="88"/>
      <c r="AM80" s="12" t="s">
        <v>103</v>
      </c>
      <c r="AN80" s="12"/>
      <c r="AO80" s="12"/>
    </row>
    <row r="81" customHeight="1" spans="2:41">
      <c r="B81" s="69"/>
      <c r="C81" s="267"/>
      <c r="D81" s="71">
        <f>SUM(F81:AK81)</f>
        <v>10</v>
      </c>
      <c r="E81" s="71"/>
      <c r="F81" s="71">
        <f>IF(D92="超微型",0,IF(D92="微型",1,IF(D92="小型",2,IF(D92="中型",5,IF(D92="大型",5,IF(D92="超大型",8,IF(D92="巨型",12,16)))))))</f>
        <v>5</v>
      </c>
      <c r="G81" s="71"/>
      <c r="H81" s="71">
        <f>E16</f>
        <v>2</v>
      </c>
      <c r="I81" s="71"/>
      <c r="J81" s="71">
        <f>E17</f>
        <v>3</v>
      </c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277"/>
      <c r="AM81" s="12"/>
      <c r="AN81" s="12"/>
      <c r="AO81" s="12"/>
    </row>
    <row r="82" customHeight="1" spans="2:41">
      <c r="B82" s="7" t="s">
        <v>104</v>
      </c>
      <c r="C82" s="12"/>
      <c r="D82" s="72" t="s">
        <v>101</v>
      </c>
      <c r="E82" s="72"/>
      <c r="F82" s="72" t="s">
        <v>49</v>
      </c>
      <c r="G82" s="72"/>
      <c r="H82" s="72" t="s">
        <v>66</v>
      </c>
      <c r="I82" s="72"/>
      <c r="J82" s="72" t="s">
        <v>105</v>
      </c>
      <c r="K82" s="72"/>
      <c r="L82" s="72" t="s">
        <v>41</v>
      </c>
      <c r="M82" s="72"/>
      <c r="N82" s="72" t="s">
        <v>41</v>
      </c>
      <c r="O82" s="72"/>
      <c r="P82" s="72" t="s">
        <v>41</v>
      </c>
      <c r="Q82" s="72"/>
      <c r="R82" s="72" t="s">
        <v>41</v>
      </c>
      <c r="S82" s="72"/>
      <c r="T82" s="72" t="s">
        <v>41</v>
      </c>
      <c r="U82" s="72"/>
      <c r="V82" s="72" t="s">
        <v>41</v>
      </c>
      <c r="W82" s="72"/>
      <c r="X82" s="72" t="s">
        <v>41</v>
      </c>
      <c r="Y82" s="72"/>
      <c r="Z82" s="72" t="s">
        <v>41</v>
      </c>
      <c r="AA82" s="72"/>
      <c r="AB82" s="72" t="s">
        <v>41</v>
      </c>
      <c r="AC82" s="72"/>
      <c r="AD82" s="72" t="s">
        <v>41</v>
      </c>
      <c r="AE82" s="72"/>
      <c r="AF82" s="72" t="s">
        <v>41</v>
      </c>
      <c r="AG82" s="72"/>
      <c r="AH82" s="72" t="s">
        <v>41</v>
      </c>
      <c r="AI82" s="72"/>
      <c r="AJ82" s="72" t="s">
        <v>41</v>
      </c>
      <c r="AK82" s="88"/>
      <c r="AM82" s="12"/>
      <c r="AN82" s="12"/>
      <c r="AO82" s="12"/>
    </row>
    <row r="83" customHeight="1" spans="2:41">
      <c r="B83" s="7"/>
      <c r="C83" s="12"/>
      <c r="D83" s="71">
        <f>SUM(F83:AK83)</f>
        <v>6</v>
      </c>
      <c r="E83" s="71"/>
      <c r="F83" s="71">
        <f>E17</f>
        <v>3</v>
      </c>
      <c r="G83" s="71"/>
      <c r="H83" s="71">
        <f>E24</f>
        <v>3</v>
      </c>
      <c r="I83" s="71"/>
      <c r="J83" s="71">
        <f>I24*3</f>
        <v>0</v>
      </c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277"/>
      <c r="AM83" s="12"/>
      <c r="AN83" s="12"/>
      <c r="AO83" s="12"/>
    </row>
    <row r="84" customHeight="1" spans="2:41">
      <c r="B84" s="69" t="s">
        <v>106</v>
      </c>
      <c r="C84" s="267"/>
      <c r="D84" s="72" t="s">
        <v>101</v>
      </c>
      <c r="E84" s="72"/>
      <c r="F84" s="72" t="s">
        <v>58</v>
      </c>
      <c r="G84" s="72"/>
      <c r="H84" s="72" t="s">
        <v>107</v>
      </c>
      <c r="I84" s="72"/>
      <c r="J84" s="72" t="s">
        <v>41</v>
      </c>
      <c r="K84" s="72"/>
      <c r="L84" s="72" t="s">
        <v>41</v>
      </c>
      <c r="M84" s="72"/>
      <c r="N84" s="72" t="s">
        <v>41</v>
      </c>
      <c r="O84" s="72"/>
      <c r="P84" s="72" t="s">
        <v>41</v>
      </c>
      <c r="Q84" s="72"/>
      <c r="R84" s="72" t="s">
        <v>41</v>
      </c>
      <c r="S84" s="72"/>
      <c r="T84" s="72" t="s">
        <v>41</v>
      </c>
      <c r="U84" s="72"/>
      <c r="V84" s="72" t="s">
        <v>41</v>
      </c>
      <c r="W84" s="72"/>
      <c r="X84" s="72" t="s">
        <v>41</v>
      </c>
      <c r="Y84" s="72"/>
      <c r="Z84" s="72" t="s">
        <v>41</v>
      </c>
      <c r="AA84" s="72"/>
      <c r="AB84" s="72" t="s">
        <v>41</v>
      </c>
      <c r="AC84" s="72"/>
      <c r="AD84" s="72" t="s">
        <v>41</v>
      </c>
      <c r="AE84" s="72"/>
      <c r="AF84" s="72" t="s">
        <v>41</v>
      </c>
      <c r="AG84" s="72"/>
      <c r="AH84" s="72" t="s">
        <v>41</v>
      </c>
      <c r="AI84" s="72"/>
      <c r="AJ84" s="72" t="s">
        <v>41</v>
      </c>
      <c r="AK84" s="88"/>
      <c r="AM84" s="12"/>
      <c r="AN84" s="12"/>
      <c r="AO84" s="12"/>
    </row>
    <row r="85" customHeight="1" spans="2:37">
      <c r="B85" s="69"/>
      <c r="C85" s="267"/>
      <c r="D85" s="71">
        <f>SUM(F85:AK85)</f>
        <v>50</v>
      </c>
      <c r="E85" s="71"/>
      <c r="F85" s="71">
        <f>E20*10</f>
        <v>50</v>
      </c>
      <c r="G85" s="71"/>
      <c r="H85" s="71">
        <f>I20*20</f>
        <v>0</v>
      </c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277"/>
    </row>
    <row r="86" customHeight="1" spans="2:37">
      <c r="B86" s="7" t="s">
        <v>108</v>
      </c>
      <c r="C86" s="12"/>
      <c r="D86" s="72" t="s">
        <v>101</v>
      </c>
      <c r="E86" s="72"/>
      <c r="F86" s="72" t="s">
        <v>59</v>
      </c>
      <c r="G86" s="72"/>
      <c r="H86" s="72" t="s">
        <v>66</v>
      </c>
      <c r="I86" s="72"/>
      <c r="J86" s="72" t="s">
        <v>109</v>
      </c>
      <c r="K86" s="72"/>
      <c r="L86" s="72" t="s">
        <v>105</v>
      </c>
      <c r="M86" s="72"/>
      <c r="N86" s="72" t="s">
        <v>41</v>
      </c>
      <c r="O86" s="72"/>
      <c r="P86" s="72" t="s">
        <v>41</v>
      </c>
      <c r="Q86" s="72"/>
      <c r="R86" s="72" t="s">
        <v>41</v>
      </c>
      <c r="S86" s="72"/>
      <c r="T86" s="72" t="s">
        <v>41</v>
      </c>
      <c r="U86" s="72"/>
      <c r="V86" s="72" t="s">
        <v>41</v>
      </c>
      <c r="W86" s="72"/>
      <c r="X86" s="72" t="s">
        <v>41</v>
      </c>
      <c r="Y86" s="72"/>
      <c r="Z86" s="72" t="s">
        <v>41</v>
      </c>
      <c r="AA86" s="72"/>
      <c r="AB86" s="72" t="s">
        <v>41</v>
      </c>
      <c r="AC86" s="72"/>
      <c r="AD86" s="72" t="s">
        <v>41</v>
      </c>
      <c r="AE86" s="72"/>
      <c r="AF86" s="72" t="s">
        <v>41</v>
      </c>
      <c r="AG86" s="72"/>
      <c r="AH86" s="72" t="s">
        <v>41</v>
      </c>
      <c r="AI86" s="72"/>
      <c r="AJ86" s="72" t="s">
        <v>41</v>
      </c>
      <c r="AK86" s="88"/>
    </row>
    <row r="87" customHeight="1" spans="2:37">
      <c r="B87" s="7"/>
      <c r="C87" s="12"/>
      <c r="D87" s="71">
        <f>SUM(F87:AK87)</f>
        <v>7</v>
      </c>
      <c r="E87" s="71"/>
      <c r="F87" s="71">
        <f>E21</f>
        <v>4</v>
      </c>
      <c r="G87" s="71"/>
      <c r="H87" s="71">
        <f>E24</f>
        <v>3</v>
      </c>
      <c r="I87" s="71"/>
      <c r="J87" s="71">
        <f>I21*3</f>
        <v>0</v>
      </c>
      <c r="K87" s="71"/>
      <c r="L87" s="71">
        <f>I24*3</f>
        <v>0</v>
      </c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277"/>
    </row>
    <row r="88" customHeight="1" spans="2:37">
      <c r="B88" s="69" t="s">
        <v>110</v>
      </c>
      <c r="C88" s="267"/>
      <c r="D88" s="72" t="s">
        <v>101</v>
      </c>
      <c r="E88" s="72"/>
      <c r="F88" s="72" t="s">
        <v>102</v>
      </c>
      <c r="G88" s="72"/>
      <c r="H88" s="72" t="s">
        <v>52</v>
      </c>
      <c r="I88" s="72"/>
      <c r="J88" s="72" t="s">
        <v>111</v>
      </c>
      <c r="K88" s="72"/>
      <c r="L88" s="72" t="s">
        <v>41</v>
      </c>
      <c r="M88" s="72"/>
      <c r="N88" s="72" t="s">
        <v>41</v>
      </c>
      <c r="O88" s="72"/>
      <c r="P88" s="72" t="s">
        <v>41</v>
      </c>
      <c r="Q88" s="72"/>
      <c r="R88" s="72" t="s">
        <v>41</v>
      </c>
      <c r="S88" s="72"/>
      <c r="T88" s="72" t="s">
        <v>41</v>
      </c>
      <c r="U88" s="72"/>
      <c r="V88" s="72" t="s">
        <v>41</v>
      </c>
      <c r="W88" s="72"/>
      <c r="X88" s="72" t="s">
        <v>41</v>
      </c>
      <c r="Y88" s="72"/>
      <c r="Z88" s="72" t="s">
        <v>41</v>
      </c>
      <c r="AA88" s="72"/>
      <c r="AB88" s="72" t="s">
        <v>41</v>
      </c>
      <c r="AC88" s="72"/>
      <c r="AD88" s="72" t="s">
        <v>41</v>
      </c>
      <c r="AE88" s="72"/>
      <c r="AF88" s="72" t="s">
        <v>41</v>
      </c>
      <c r="AG88" s="72"/>
      <c r="AH88" s="72" t="s">
        <v>41</v>
      </c>
      <c r="AI88" s="72"/>
      <c r="AJ88" s="72" t="s">
        <v>41</v>
      </c>
      <c r="AK88" s="88"/>
    </row>
    <row r="89" customHeight="1" spans="2:37">
      <c r="B89" s="69"/>
      <c r="C89" s="267"/>
      <c r="D89" s="71">
        <f>SUM(F89:AK89)</f>
        <v>9</v>
      </c>
      <c r="E89" s="71"/>
      <c r="F89" s="71">
        <f>IF(D92="超微型",0,IF(D92="微型",1,IF(D92="小型",2,IF(D92="中型",5,IF(D92="大型",10,IF(D92="超大型",17,IF(D92="巨型",26,37)))))))</f>
        <v>5</v>
      </c>
      <c r="G89" s="71"/>
      <c r="H89" s="71">
        <f>E18</f>
        <v>4</v>
      </c>
      <c r="I89" s="71"/>
      <c r="J89" s="71">
        <f>I18*(I18+1)/2</f>
        <v>0</v>
      </c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277"/>
    </row>
    <row r="90" customHeight="1" spans="2:37">
      <c r="B90" s="7" t="s">
        <v>112</v>
      </c>
      <c r="C90" s="12"/>
      <c r="D90" s="72" t="s">
        <v>101</v>
      </c>
      <c r="E90" s="72"/>
      <c r="F90" s="72" t="s">
        <v>102</v>
      </c>
      <c r="G90" s="72"/>
      <c r="H90" s="72" t="s">
        <v>41</v>
      </c>
      <c r="I90" s="72"/>
      <c r="J90" s="72" t="s">
        <v>41</v>
      </c>
      <c r="K90" s="72"/>
      <c r="L90" s="72" t="s">
        <v>41</v>
      </c>
      <c r="M90" s="72"/>
      <c r="N90" s="72" t="s">
        <v>41</v>
      </c>
      <c r="O90" s="72"/>
      <c r="P90" s="72" t="s">
        <v>41</v>
      </c>
      <c r="Q90" s="72"/>
      <c r="R90" s="72" t="s">
        <v>41</v>
      </c>
      <c r="S90" s="72"/>
      <c r="T90" s="72" t="s">
        <v>41</v>
      </c>
      <c r="U90" s="72"/>
      <c r="V90" s="72" t="s">
        <v>41</v>
      </c>
      <c r="W90" s="72"/>
      <c r="X90" s="72" t="s">
        <v>41</v>
      </c>
      <c r="Y90" s="72"/>
      <c r="Z90" s="72" t="s">
        <v>41</v>
      </c>
      <c r="AA90" s="72"/>
      <c r="AB90" s="72" t="s">
        <v>41</v>
      </c>
      <c r="AC90" s="72"/>
      <c r="AD90" s="72" t="s">
        <v>41</v>
      </c>
      <c r="AE90" s="72"/>
      <c r="AF90" s="72" t="s">
        <v>41</v>
      </c>
      <c r="AG90" s="72"/>
      <c r="AH90" s="72" t="s">
        <v>41</v>
      </c>
      <c r="AI90" s="72"/>
      <c r="AJ90" s="72" t="s">
        <v>41</v>
      </c>
      <c r="AK90" s="88"/>
    </row>
    <row r="91" customHeight="1" spans="2:37">
      <c r="B91" s="7"/>
      <c r="C91" s="12"/>
      <c r="D91" s="71">
        <f>SUM(F91:AK91)</f>
        <v>2</v>
      </c>
      <c r="E91" s="71"/>
      <c r="F91" s="71">
        <f>IF(D92="超微型",0,IF(D92="微型",0,IF(D92="小型",2,IF(D92="中型",2,IF(D92="大型",2,IF(D92="超大型",4,IF(D92="巨型",6,8)))))))</f>
        <v>2</v>
      </c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277"/>
    </row>
    <row r="92" customHeight="1" spans="2:37">
      <c r="B92" s="69" t="s">
        <v>113</v>
      </c>
      <c r="C92" s="267"/>
      <c r="D92" s="12" t="s">
        <v>114</v>
      </c>
      <c r="E92" s="12"/>
      <c r="F92" s="267" t="s">
        <v>115</v>
      </c>
      <c r="G92" s="267"/>
      <c r="H92" s="12"/>
      <c r="I92" s="12"/>
      <c r="J92" s="267" t="s">
        <v>116</v>
      </c>
      <c r="K92" s="267"/>
      <c r="L92" s="12">
        <f>D81</f>
        <v>10</v>
      </c>
      <c r="M92" s="12"/>
      <c r="N92" s="267" t="s">
        <v>117</v>
      </c>
      <c r="O92" s="267"/>
      <c r="P92" s="12"/>
      <c r="Q92" s="12"/>
      <c r="R92" s="267" t="s">
        <v>118</v>
      </c>
      <c r="S92" s="267"/>
      <c r="T92" s="12"/>
      <c r="U92" s="12"/>
      <c r="V92" s="267" t="s">
        <v>119</v>
      </c>
      <c r="W92" s="267"/>
      <c r="X92" s="12">
        <f>D85*10</f>
        <v>500</v>
      </c>
      <c r="Y92" s="12"/>
      <c r="Z92" s="267" t="s">
        <v>120</v>
      </c>
      <c r="AA92" s="267"/>
      <c r="AB92" s="12"/>
      <c r="AC92" s="12"/>
      <c r="AD92" s="267" t="s">
        <v>41</v>
      </c>
      <c r="AE92" s="267"/>
      <c r="AF92" s="12"/>
      <c r="AG92" s="12"/>
      <c r="AH92" s="267" t="s">
        <v>41</v>
      </c>
      <c r="AI92" s="267"/>
      <c r="AJ92" s="12"/>
      <c r="AK92" s="17"/>
    </row>
    <row r="93" customHeight="1" spans="2:37">
      <c r="B93" s="76"/>
      <c r="C93" s="77"/>
      <c r="D93" s="10"/>
      <c r="E93" s="10"/>
      <c r="F93" s="77"/>
      <c r="G93" s="77"/>
      <c r="H93" s="10"/>
      <c r="I93" s="10"/>
      <c r="J93" s="77"/>
      <c r="K93" s="77"/>
      <c r="L93" s="10"/>
      <c r="M93" s="10"/>
      <c r="N93" s="77"/>
      <c r="O93" s="77"/>
      <c r="P93" s="10"/>
      <c r="Q93" s="10"/>
      <c r="R93" s="77"/>
      <c r="S93" s="77"/>
      <c r="T93" s="10"/>
      <c r="U93" s="10"/>
      <c r="V93" s="77"/>
      <c r="W93" s="77"/>
      <c r="X93" s="10"/>
      <c r="Y93" s="10"/>
      <c r="Z93" s="77"/>
      <c r="AA93" s="77"/>
      <c r="AB93" s="10"/>
      <c r="AC93" s="10"/>
      <c r="AD93" s="77"/>
      <c r="AE93" s="77"/>
      <c r="AF93" s="10"/>
      <c r="AG93" s="10"/>
      <c r="AH93" s="77"/>
      <c r="AI93" s="77"/>
      <c r="AJ93" s="10"/>
      <c r="AK93" s="18"/>
    </row>
    <row r="95" customHeight="1" spans="2:37">
      <c r="B95" s="169" t="s">
        <v>121</v>
      </c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235"/>
    </row>
    <row r="96" customHeight="1" spans="2:37">
      <c r="B96" s="65" t="s">
        <v>122</v>
      </c>
      <c r="C96" s="66"/>
      <c r="D96" s="68" t="s">
        <v>101</v>
      </c>
      <c r="E96" s="68"/>
      <c r="F96" s="68" t="s">
        <v>123</v>
      </c>
      <c r="G96" s="68"/>
      <c r="H96" s="68" t="s">
        <v>124</v>
      </c>
      <c r="I96" s="68"/>
      <c r="J96" s="68" t="s">
        <v>107</v>
      </c>
      <c r="K96" s="68"/>
      <c r="L96" s="68" t="s">
        <v>41</v>
      </c>
      <c r="M96" s="68"/>
      <c r="N96" s="68" t="s">
        <v>41</v>
      </c>
      <c r="O96" s="68"/>
      <c r="P96" s="68" t="s">
        <v>41</v>
      </c>
      <c r="Q96" s="68"/>
      <c r="R96" s="68" t="s">
        <v>41</v>
      </c>
      <c r="S96" s="68"/>
      <c r="T96" s="68" t="s">
        <v>41</v>
      </c>
      <c r="U96" s="68"/>
      <c r="V96" s="68" t="s">
        <v>41</v>
      </c>
      <c r="W96" s="68"/>
      <c r="X96" s="68" t="s">
        <v>41</v>
      </c>
      <c r="Y96" s="68"/>
      <c r="Z96" s="68" t="s">
        <v>41</v>
      </c>
      <c r="AA96" s="68"/>
      <c r="AB96" s="68" t="s">
        <v>41</v>
      </c>
      <c r="AC96" s="68"/>
      <c r="AD96" s="68" t="s">
        <v>41</v>
      </c>
      <c r="AE96" s="68"/>
      <c r="AF96" s="68" t="s">
        <v>41</v>
      </c>
      <c r="AG96" s="68"/>
      <c r="AH96" s="68" t="s">
        <v>41</v>
      </c>
      <c r="AI96" s="68"/>
      <c r="AJ96" s="68" t="s">
        <v>41</v>
      </c>
      <c r="AK96" s="86"/>
    </row>
    <row r="97" customHeight="1" spans="2:37">
      <c r="B97" s="69"/>
      <c r="C97" s="267"/>
      <c r="D97" s="71">
        <f>SUM(F97:AK97)</f>
        <v>3</v>
      </c>
      <c r="E97" s="71"/>
      <c r="F97" s="71">
        <f>MIN(E17,E20)</f>
        <v>3</v>
      </c>
      <c r="G97" s="71"/>
      <c r="H97" s="71">
        <f>I17</f>
        <v>0</v>
      </c>
      <c r="I97" s="71"/>
      <c r="J97" s="71">
        <f>I20</f>
        <v>0</v>
      </c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277"/>
    </row>
    <row r="98" customHeight="1" spans="2:37">
      <c r="B98" s="268" t="s">
        <v>125</v>
      </c>
      <c r="C98" s="67"/>
      <c r="D98" s="68" t="s">
        <v>101</v>
      </c>
      <c r="E98" s="68"/>
      <c r="F98" s="68" t="s">
        <v>124</v>
      </c>
      <c r="G98" s="68"/>
      <c r="H98" s="68" t="s">
        <v>107</v>
      </c>
      <c r="I98" s="68"/>
      <c r="J98" s="68" t="s">
        <v>41</v>
      </c>
      <c r="K98" s="68"/>
      <c r="L98" s="68" t="s">
        <v>41</v>
      </c>
      <c r="M98" s="68"/>
      <c r="N98" s="68" t="s">
        <v>41</v>
      </c>
      <c r="O98" s="68"/>
      <c r="P98" s="68" t="s">
        <v>41</v>
      </c>
      <c r="Q98" s="68"/>
      <c r="R98" s="68" t="s">
        <v>41</v>
      </c>
      <c r="S98" s="68"/>
      <c r="T98" s="68" t="s">
        <v>41</v>
      </c>
      <c r="U98" s="68"/>
      <c r="V98" s="68" t="s">
        <v>41</v>
      </c>
      <c r="W98" s="68"/>
      <c r="X98" s="68" t="s">
        <v>41</v>
      </c>
      <c r="Y98" s="68"/>
      <c r="Z98" s="68" t="s">
        <v>41</v>
      </c>
      <c r="AA98" s="68"/>
      <c r="AB98" s="68" t="s">
        <v>41</v>
      </c>
      <c r="AC98" s="68"/>
      <c r="AD98" s="68" t="s">
        <v>41</v>
      </c>
      <c r="AE98" s="68"/>
      <c r="AF98" s="68" t="s">
        <v>41</v>
      </c>
      <c r="AG98" s="68"/>
      <c r="AH98" s="68" t="s">
        <v>41</v>
      </c>
      <c r="AI98" s="68"/>
      <c r="AJ98" s="68" t="s">
        <v>41</v>
      </c>
      <c r="AK98" s="86"/>
    </row>
    <row r="99" customHeight="1" spans="2:37">
      <c r="B99" s="269"/>
      <c r="C99" s="190"/>
      <c r="D99" s="75">
        <f>SUM(F99:AK99)</f>
        <v>0</v>
      </c>
      <c r="E99" s="75"/>
      <c r="F99" s="75">
        <f>I17</f>
        <v>0</v>
      </c>
      <c r="G99" s="75"/>
      <c r="H99" s="75">
        <f>I20</f>
        <v>0</v>
      </c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278"/>
    </row>
    <row r="100" customHeight="1" spans="2:37">
      <c r="B100" s="69" t="s">
        <v>126</v>
      </c>
      <c r="C100" s="267"/>
      <c r="D100" s="72" t="s">
        <v>101</v>
      </c>
      <c r="E100" s="72"/>
      <c r="F100" s="72" t="s">
        <v>122</v>
      </c>
      <c r="G100" s="72"/>
      <c r="H100" s="72" t="s">
        <v>41</v>
      </c>
      <c r="I100" s="72"/>
      <c r="J100" s="72" t="s">
        <v>41</v>
      </c>
      <c r="K100" s="72"/>
      <c r="L100" s="72" t="s">
        <v>41</v>
      </c>
      <c r="M100" s="72"/>
      <c r="N100" s="72" t="s">
        <v>41</v>
      </c>
      <c r="O100" s="72"/>
      <c r="P100" s="72" t="s">
        <v>41</v>
      </c>
      <c r="Q100" s="72"/>
      <c r="R100" s="72" t="s">
        <v>41</v>
      </c>
      <c r="S100" s="72"/>
      <c r="T100" s="72" t="s">
        <v>41</v>
      </c>
      <c r="U100" s="72"/>
      <c r="V100" s="72" t="s">
        <v>41</v>
      </c>
      <c r="W100" s="72"/>
      <c r="X100" s="72" t="s">
        <v>41</v>
      </c>
      <c r="Y100" s="72"/>
      <c r="Z100" s="72" t="s">
        <v>41</v>
      </c>
      <c r="AA100" s="72"/>
      <c r="AB100" s="72" t="s">
        <v>41</v>
      </c>
      <c r="AC100" s="72"/>
      <c r="AD100" s="72" t="s">
        <v>41</v>
      </c>
      <c r="AE100" s="72"/>
      <c r="AF100" s="72" t="s">
        <v>41</v>
      </c>
      <c r="AG100" s="72"/>
      <c r="AH100" s="72" t="s">
        <v>41</v>
      </c>
      <c r="AI100" s="72"/>
      <c r="AJ100" s="72" t="s">
        <v>41</v>
      </c>
      <c r="AK100" s="88"/>
    </row>
    <row r="101" customHeight="1" spans="2:37">
      <c r="B101" s="69"/>
      <c r="C101" s="267"/>
      <c r="D101" s="71">
        <f>SUM(F101:AK101)</f>
        <v>3</v>
      </c>
      <c r="E101" s="71"/>
      <c r="F101" s="71">
        <f>D97</f>
        <v>3</v>
      </c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277"/>
    </row>
    <row r="102" customHeight="1" spans="2:37">
      <c r="B102" s="7" t="s">
        <v>127</v>
      </c>
      <c r="C102" s="12"/>
      <c r="D102" s="72" t="s">
        <v>101</v>
      </c>
      <c r="E102" s="72"/>
      <c r="F102" s="72" t="s">
        <v>82</v>
      </c>
      <c r="G102" s="72"/>
      <c r="H102" s="72" t="s">
        <v>72</v>
      </c>
      <c r="I102" s="72"/>
      <c r="J102" s="72" t="s">
        <v>41</v>
      </c>
      <c r="K102" s="72"/>
      <c r="L102" s="72" t="s">
        <v>41</v>
      </c>
      <c r="M102" s="72"/>
      <c r="N102" s="72" t="s">
        <v>41</v>
      </c>
      <c r="O102" s="72"/>
      <c r="P102" s="72" t="s">
        <v>41</v>
      </c>
      <c r="Q102" s="72"/>
      <c r="R102" s="72" t="s">
        <v>41</v>
      </c>
      <c r="S102" s="72"/>
      <c r="T102" s="72" t="s">
        <v>41</v>
      </c>
      <c r="U102" s="72"/>
      <c r="V102" s="72" t="s">
        <v>41</v>
      </c>
      <c r="W102" s="72"/>
      <c r="X102" s="72" t="s">
        <v>41</v>
      </c>
      <c r="Y102" s="72"/>
      <c r="Z102" s="72" t="s">
        <v>41</v>
      </c>
      <c r="AA102" s="72"/>
      <c r="AB102" s="72" t="s">
        <v>41</v>
      </c>
      <c r="AC102" s="72"/>
      <c r="AD102" s="72" t="s">
        <v>41</v>
      </c>
      <c r="AE102" s="72"/>
      <c r="AF102" s="72" t="s">
        <v>41</v>
      </c>
      <c r="AG102" s="72"/>
      <c r="AH102" s="72" t="s">
        <v>41</v>
      </c>
      <c r="AI102" s="72"/>
      <c r="AJ102" s="72" t="s">
        <v>41</v>
      </c>
      <c r="AK102" s="88"/>
    </row>
    <row r="103" customHeight="1" spans="2:37">
      <c r="B103" s="7"/>
      <c r="C103" s="12"/>
      <c r="D103" s="71">
        <f>SUM(F103:AK103)</f>
        <v>2</v>
      </c>
      <c r="E103" s="71"/>
      <c r="F103" s="71">
        <f>F42</f>
        <v>2</v>
      </c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277"/>
    </row>
    <row r="104" customHeight="1" spans="2:37">
      <c r="B104" s="69" t="s">
        <v>128</v>
      </c>
      <c r="C104" s="267"/>
      <c r="D104" s="72" t="s">
        <v>101</v>
      </c>
      <c r="E104" s="72"/>
      <c r="F104" s="72" t="s">
        <v>129</v>
      </c>
      <c r="G104" s="72"/>
      <c r="H104" s="72" t="s">
        <v>41</v>
      </c>
      <c r="I104" s="72"/>
      <c r="J104" s="72" t="s">
        <v>41</v>
      </c>
      <c r="K104" s="72"/>
      <c r="L104" s="72" t="s">
        <v>41</v>
      </c>
      <c r="M104" s="72"/>
      <c r="N104" s="72" t="s">
        <v>41</v>
      </c>
      <c r="O104" s="72"/>
      <c r="P104" s="72" t="s">
        <v>41</v>
      </c>
      <c r="Q104" s="72"/>
      <c r="R104" s="72" t="s">
        <v>41</v>
      </c>
      <c r="S104" s="72"/>
      <c r="T104" s="72" t="s">
        <v>41</v>
      </c>
      <c r="U104" s="72"/>
      <c r="V104" s="72" t="s">
        <v>41</v>
      </c>
      <c r="W104" s="72"/>
      <c r="X104" s="72" t="s">
        <v>41</v>
      </c>
      <c r="Y104" s="72"/>
      <c r="Z104" s="72" t="s">
        <v>41</v>
      </c>
      <c r="AA104" s="72"/>
      <c r="AB104" s="72" t="s">
        <v>41</v>
      </c>
      <c r="AC104" s="72"/>
      <c r="AD104" s="72" t="s">
        <v>41</v>
      </c>
      <c r="AE104" s="72"/>
      <c r="AF104" s="72" t="s">
        <v>41</v>
      </c>
      <c r="AG104" s="72"/>
      <c r="AH104" s="72" t="s">
        <v>41</v>
      </c>
      <c r="AI104" s="72"/>
      <c r="AJ104" s="72" t="s">
        <v>41</v>
      </c>
      <c r="AK104" s="88"/>
    </row>
    <row r="105" customHeight="1" spans="2:37">
      <c r="B105" s="69"/>
      <c r="C105" s="267"/>
      <c r="D105" s="71">
        <f>SUM(F105:AK105)</f>
        <v>0</v>
      </c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277"/>
    </row>
    <row r="106" customHeight="1" spans="2:37">
      <c r="B106" s="7" t="s">
        <v>130</v>
      </c>
      <c r="C106" s="12"/>
      <c r="D106" s="72" t="s">
        <v>101</v>
      </c>
      <c r="E106" s="72"/>
      <c r="F106" s="72" t="s">
        <v>76</v>
      </c>
      <c r="G106" s="72"/>
      <c r="H106" s="72" t="s">
        <v>72</v>
      </c>
      <c r="I106" s="72"/>
      <c r="J106" s="72" t="s">
        <v>41</v>
      </c>
      <c r="K106" s="72"/>
      <c r="L106" s="72" t="s">
        <v>41</v>
      </c>
      <c r="M106" s="72"/>
      <c r="N106" s="72" t="s">
        <v>41</v>
      </c>
      <c r="O106" s="72"/>
      <c r="P106" s="72" t="s">
        <v>41</v>
      </c>
      <c r="Q106" s="72"/>
      <c r="R106" s="72" t="s">
        <v>41</v>
      </c>
      <c r="S106" s="72"/>
      <c r="T106" s="72" t="s">
        <v>41</v>
      </c>
      <c r="U106" s="72"/>
      <c r="V106" s="72" t="s">
        <v>41</v>
      </c>
      <c r="W106" s="72"/>
      <c r="X106" s="72" t="s">
        <v>41</v>
      </c>
      <c r="Y106" s="72"/>
      <c r="Z106" s="72" t="s">
        <v>41</v>
      </c>
      <c r="AA106" s="72"/>
      <c r="AB106" s="72" t="s">
        <v>41</v>
      </c>
      <c r="AC106" s="72"/>
      <c r="AD106" s="72" t="s">
        <v>41</v>
      </c>
      <c r="AE106" s="72"/>
      <c r="AF106" s="72" t="s">
        <v>41</v>
      </c>
      <c r="AG106" s="72"/>
      <c r="AH106" s="72" t="s">
        <v>41</v>
      </c>
      <c r="AI106" s="72"/>
      <c r="AJ106" s="72" t="s">
        <v>41</v>
      </c>
      <c r="AK106" s="88"/>
    </row>
    <row r="107" customHeight="1" spans="2:37">
      <c r="B107" s="7"/>
      <c r="C107" s="12"/>
      <c r="D107" s="71">
        <f>SUM(F107:AK107)</f>
        <v>0</v>
      </c>
      <c r="E107" s="71"/>
      <c r="F107" s="71">
        <f>F30</f>
        <v>0</v>
      </c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277"/>
    </row>
    <row r="108" customHeight="1" spans="2:37">
      <c r="B108" s="69" t="s">
        <v>131</v>
      </c>
      <c r="C108" s="267"/>
      <c r="D108" s="72" t="s">
        <v>101</v>
      </c>
      <c r="E108" s="72"/>
      <c r="F108" s="72" t="s">
        <v>41</v>
      </c>
      <c r="G108" s="72"/>
      <c r="H108" s="72" t="s">
        <v>41</v>
      </c>
      <c r="I108" s="72"/>
      <c r="J108" s="72" t="s">
        <v>41</v>
      </c>
      <c r="K108" s="72"/>
      <c r="L108" s="72" t="s">
        <v>41</v>
      </c>
      <c r="M108" s="72"/>
      <c r="N108" s="72" t="s">
        <v>41</v>
      </c>
      <c r="O108" s="72"/>
      <c r="P108" s="72" t="s">
        <v>41</v>
      </c>
      <c r="Q108" s="72"/>
      <c r="R108" s="72" t="s">
        <v>41</v>
      </c>
      <c r="S108" s="72"/>
      <c r="T108" s="72" t="s">
        <v>41</v>
      </c>
      <c r="U108" s="72"/>
      <c r="V108" s="72" t="s">
        <v>41</v>
      </c>
      <c r="W108" s="72"/>
      <c r="X108" s="72" t="s">
        <v>41</v>
      </c>
      <c r="Y108" s="72"/>
      <c r="Z108" s="72" t="s">
        <v>41</v>
      </c>
      <c r="AA108" s="72"/>
      <c r="AB108" s="72" t="s">
        <v>41</v>
      </c>
      <c r="AC108" s="72"/>
      <c r="AD108" s="72" t="s">
        <v>41</v>
      </c>
      <c r="AE108" s="72"/>
      <c r="AF108" s="72" t="s">
        <v>41</v>
      </c>
      <c r="AG108" s="72"/>
      <c r="AH108" s="72" t="s">
        <v>41</v>
      </c>
      <c r="AI108" s="72"/>
      <c r="AJ108" s="72" t="s">
        <v>41</v>
      </c>
      <c r="AK108" s="88"/>
    </row>
    <row r="109" customHeight="1" spans="2:37">
      <c r="B109" s="69"/>
      <c r="C109" s="267"/>
      <c r="D109" s="71">
        <f>SUM(F109:AK109)</f>
        <v>0</v>
      </c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277"/>
    </row>
    <row r="110" customHeight="1" spans="2:37">
      <c r="B110" s="7" t="s">
        <v>132</v>
      </c>
      <c r="C110" s="12"/>
      <c r="D110" s="72" t="s">
        <v>101</v>
      </c>
      <c r="E110" s="72"/>
      <c r="F110" s="72" t="s">
        <v>41</v>
      </c>
      <c r="G110" s="72"/>
      <c r="H110" s="72" t="s">
        <v>41</v>
      </c>
      <c r="I110" s="72"/>
      <c r="J110" s="72" t="s">
        <v>41</v>
      </c>
      <c r="K110" s="72"/>
      <c r="L110" s="72" t="s">
        <v>41</v>
      </c>
      <c r="M110" s="72"/>
      <c r="N110" s="72" t="s">
        <v>41</v>
      </c>
      <c r="O110" s="72"/>
      <c r="P110" s="72" t="s">
        <v>41</v>
      </c>
      <c r="Q110" s="72"/>
      <c r="R110" s="72" t="s">
        <v>41</v>
      </c>
      <c r="S110" s="72"/>
      <c r="T110" s="72" t="s">
        <v>41</v>
      </c>
      <c r="U110" s="72"/>
      <c r="V110" s="72" t="s">
        <v>41</v>
      </c>
      <c r="W110" s="72"/>
      <c r="X110" s="72" t="s">
        <v>41</v>
      </c>
      <c r="Y110" s="72"/>
      <c r="Z110" s="72" t="s">
        <v>41</v>
      </c>
      <c r="AA110" s="72"/>
      <c r="AB110" s="72" t="s">
        <v>41</v>
      </c>
      <c r="AC110" s="72"/>
      <c r="AD110" s="72" t="s">
        <v>41</v>
      </c>
      <c r="AE110" s="72"/>
      <c r="AF110" s="72" t="s">
        <v>41</v>
      </c>
      <c r="AG110" s="72"/>
      <c r="AH110" s="72" t="s">
        <v>41</v>
      </c>
      <c r="AI110" s="72"/>
      <c r="AJ110" s="72" t="s">
        <v>41</v>
      </c>
      <c r="AK110" s="88"/>
    </row>
    <row r="111" customHeight="1" spans="2:37">
      <c r="B111" s="7"/>
      <c r="C111" s="12"/>
      <c r="D111" s="71">
        <f>SUM(F111:AK111)</f>
        <v>0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277"/>
    </row>
    <row r="112" customHeight="1" spans="2:37">
      <c r="B112" s="69" t="s">
        <v>133</v>
      </c>
      <c r="C112" s="267"/>
      <c r="D112" s="72" t="s">
        <v>101</v>
      </c>
      <c r="E112" s="72"/>
      <c r="F112" s="72" t="s">
        <v>134</v>
      </c>
      <c r="G112" s="72"/>
      <c r="H112" s="72" t="s">
        <v>41</v>
      </c>
      <c r="I112" s="72"/>
      <c r="J112" s="72" t="s">
        <v>41</v>
      </c>
      <c r="K112" s="72"/>
      <c r="L112" s="72" t="s">
        <v>41</v>
      </c>
      <c r="M112" s="72"/>
      <c r="N112" s="72" t="s">
        <v>41</v>
      </c>
      <c r="O112" s="72"/>
      <c r="P112" s="72" t="s">
        <v>41</v>
      </c>
      <c r="Q112" s="72"/>
      <c r="R112" s="72" t="s">
        <v>41</v>
      </c>
      <c r="S112" s="72"/>
      <c r="T112" s="72" t="s">
        <v>41</v>
      </c>
      <c r="U112" s="72"/>
      <c r="V112" s="72" t="s">
        <v>41</v>
      </c>
      <c r="W112" s="72"/>
      <c r="X112" s="72" t="s">
        <v>41</v>
      </c>
      <c r="Y112" s="72"/>
      <c r="Z112" s="72" t="s">
        <v>41</v>
      </c>
      <c r="AA112" s="72"/>
      <c r="AB112" s="72" t="s">
        <v>41</v>
      </c>
      <c r="AC112" s="72"/>
      <c r="AD112" s="72" t="s">
        <v>41</v>
      </c>
      <c r="AE112" s="72"/>
      <c r="AF112" s="72" t="s">
        <v>41</v>
      </c>
      <c r="AG112" s="72"/>
      <c r="AH112" s="72" t="s">
        <v>41</v>
      </c>
      <c r="AI112" s="72"/>
      <c r="AJ112" s="72" t="s">
        <v>41</v>
      </c>
      <c r="AK112" s="88"/>
    </row>
    <row r="113" customHeight="1" spans="2:37">
      <c r="B113" s="69"/>
      <c r="C113" s="267"/>
      <c r="D113" s="71">
        <f>SUM(F113:AK113)</f>
        <v>0</v>
      </c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277"/>
    </row>
    <row r="114" customHeight="1" spans="2:37">
      <c r="B114" s="7" t="s">
        <v>135</v>
      </c>
      <c r="C114" s="12"/>
      <c r="D114" s="72" t="s">
        <v>101</v>
      </c>
      <c r="E114" s="72"/>
      <c r="F114" s="72" t="s">
        <v>41</v>
      </c>
      <c r="G114" s="72"/>
      <c r="H114" s="72" t="s">
        <v>41</v>
      </c>
      <c r="I114" s="72"/>
      <c r="J114" s="72" t="s">
        <v>41</v>
      </c>
      <c r="K114" s="72"/>
      <c r="L114" s="72" t="s">
        <v>41</v>
      </c>
      <c r="M114" s="72"/>
      <c r="N114" s="72" t="s">
        <v>41</v>
      </c>
      <c r="O114" s="72"/>
      <c r="P114" s="72" t="s">
        <v>41</v>
      </c>
      <c r="Q114" s="72"/>
      <c r="R114" s="72" t="s">
        <v>41</v>
      </c>
      <c r="S114" s="72"/>
      <c r="T114" s="72" t="s">
        <v>41</v>
      </c>
      <c r="U114" s="72"/>
      <c r="V114" s="72" t="s">
        <v>41</v>
      </c>
      <c r="W114" s="72"/>
      <c r="X114" s="72" t="s">
        <v>41</v>
      </c>
      <c r="Y114" s="72"/>
      <c r="Z114" s="72" t="s">
        <v>41</v>
      </c>
      <c r="AA114" s="72"/>
      <c r="AB114" s="72" t="s">
        <v>41</v>
      </c>
      <c r="AC114" s="72"/>
      <c r="AD114" s="72" t="s">
        <v>41</v>
      </c>
      <c r="AE114" s="72"/>
      <c r="AF114" s="72" t="s">
        <v>41</v>
      </c>
      <c r="AG114" s="72"/>
      <c r="AH114" s="72" t="s">
        <v>41</v>
      </c>
      <c r="AI114" s="72"/>
      <c r="AJ114" s="72" t="s">
        <v>41</v>
      </c>
      <c r="AK114" s="88"/>
    </row>
    <row r="115" customHeight="1" spans="2:37">
      <c r="B115" s="7"/>
      <c r="C115" s="12"/>
      <c r="D115" s="71">
        <f>SUM(F115:AK115)</f>
        <v>0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277"/>
    </row>
    <row r="116" customHeight="1" spans="2:37">
      <c r="B116" s="69" t="s">
        <v>136</v>
      </c>
      <c r="C116" s="267"/>
      <c r="D116" s="72" t="s">
        <v>101</v>
      </c>
      <c r="E116" s="72"/>
      <c r="F116" s="72" t="s">
        <v>41</v>
      </c>
      <c r="G116" s="72"/>
      <c r="H116" s="72" t="s">
        <v>41</v>
      </c>
      <c r="I116" s="72"/>
      <c r="J116" s="72" t="s">
        <v>41</v>
      </c>
      <c r="K116" s="72"/>
      <c r="L116" s="72" t="s">
        <v>41</v>
      </c>
      <c r="M116" s="72"/>
      <c r="N116" s="72" t="s">
        <v>41</v>
      </c>
      <c r="O116" s="72"/>
      <c r="P116" s="72" t="s">
        <v>41</v>
      </c>
      <c r="Q116" s="72"/>
      <c r="R116" s="72" t="s">
        <v>41</v>
      </c>
      <c r="S116" s="72"/>
      <c r="T116" s="72" t="s">
        <v>41</v>
      </c>
      <c r="U116" s="72"/>
      <c r="V116" s="72" t="s">
        <v>41</v>
      </c>
      <c r="W116" s="72"/>
      <c r="X116" s="72" t="s">
        <v>41</v>
      </c>
      <c r="Y116" s="72"/>
      <c r="Z116" s="72" t="s">
        <v>41</v>
      </c>
      <c r="AA116" s="72"/>
      <c r="AB116" s="72" t="s">
        <v>41</v>
      </c>
      <c r="AC116" s="72"/>
      <c r="AD116" s="72" t="s">
        <v>41</v>
      </c>
      <c r="AE116" s="72"/>
      <c r="AF116" s="72" t="s">
        <v>41</v>
      </c>
      <c r="AG116" s="72"/>
      <c r="AH116" s="72" t="s">
        <v>41</v>
      </c>
      <c r="AI116" s="72"/>
      <c r="AJ116" s="72" t="s">
        <v>41</v>
      </c>
      <c r="AK116" s="88"/>
    </row>
    <row r="117" customHeight="1" spans="2:37">
      <c r="B117" s="69"/>
      <c r="C117" s="267"/>
      <c r="D117" s="71">
        <f>SUM(F117:AK117)</f>
        <v>0</v>
      </c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277"/>
    </row>
    <row r="118" customHeight="1" spans="2:37">
      <c r="B118" s="7" t="s">
        <v>137</v>
      </c>
      <c r="C118" s="12"/>
      <c r="D118" s="72" t="s">
        <v>101</v>
      </c>
      <c r="E118" s="72"/>
      <c r="F118" s="72" t="s">
        <v>41</v>
      </c>
      <c r="G118" s="72"/>
      <c r="H118" s="72" t="s">
        <v>41</v>
      </c>
      <c r="I118" s="72"/>
      <c r="J118" s="72" t="s">
        <v>41</v>
      </c>
      <c r="K118" s="72"/>
      <c r="L118" s="72" t="s">
        <v>41</v>
      </c>
      <c r="M118" s="72"/>
      <c r="N118" s="72" t="s">
        <v>41</v>
      </c>
      <c r="O118" s="72"/>
      <c r="P118" s="72" t="s">
        <v>41</v>
      </c>
      <c r="Q118" s="72"/>
      <c r="R118" s="72" t="s">
        <v>41</v>
      </c>
      <c r="S118" s="72"/>
      <c r="T118" s="72" t="s">
        <v>41</v>
      </c>
      <c r="U118" s="72"/>
      <c r="V118" s="72" t="s">
        <v>41</v>
      </c>
      <c r="W118" s="72"/>
      <c r="X118" s="72" t="s">
        <v>41</v>
      </c>
      <c r="Y118" s="72"/>
      <c r="Z118" s="72" t="s">
        <v>41</v>
      </c>
      <c r="AA118" s="72"/>
      <c r="AB118" s="72" t="s">
        <v>41</v>
      </c>
      <c r="AC118" s="72"/>
      <c r="AD118" s="72" t="s">
        <v>41</v>
      </c>
      <c r="AE118" s="72"/>
      <c r="AF118" s="72" t="s">
        <v>41</v>
      </c>
      <c r="AG118" s="72"/>
      <c r="AH118" s="72" t="s">
        <v>41</v>
      </c>
      <c r="AI118" s="72"/>
      <c r="AJ118" s="72" t="s">
        <v>41</v>
      </c>
      <c r="AK118" s="88"/>
    </row>
    <row r="119" customHeight="1" spans="2:37">
      <c r="B119" s="7"/>
      <c r="C119" s="12"/>
      <c r="D119" s="71">
        <f>SUM(F119:AK119)</f>
        <v>0</v>
      </c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277"/>
    </row>
    <row r="120" customHeight="1" spans="2:37">
      <c r="B120" s="65" t="s">
        <v>138</v>
      </c>
      <c r="C120" s="66"/>
      <c r="D120" s="68" t="s">
        <v>101</v>
      </c>
      <c r="E120" s="68"/>
      <c r="F120" s="68" t="s">
        <v>122</v>
      </c>
      <c r="G120" s="68"/>
      <c r="H120" s="68" t="s">
        <v>139</v>
      </c>
      <c r="I120" s="68"/>
      <c r="J120" s="68" t="s">
        <v>128</v>
      </c>
      <c r="K120" s="68"/>
      <c r="L120" s="68" t="s">
        <v>131</v>
      </c>
      <c r="M120" s="68"/>
      <c r="N120" s="68" t="s">
        <v>132</v>
      </c>
      <c r="O120" s="68"/>
      <c r="P120" s="68" t="s">
        <v>133</v>
      </c>
      <c r="Q120" s="68"/>
      <c r="R120" s="68" t="s">
        <v>135</v>
      </c>
      <c r="S120" s="68"/>
      <c r="T120" s="68" t="s">
        <v>136</v>
      </c>
      <c r="U120" s="68"/>
      <c r="V120" s="68" t="s">
        <v>137</v>
      </c>
      <c r="W120" s="68"/>
      <c r="X120" s="68" t="s">
        <v>41</v>
      </c>
      <c r="Y120" s="68"/>
      <c r="Z120" s="68" t="s">
        <v>41</v>
      </c>
      <c r="AA120" s="68"/>
      <c r="AB120" s="68" t="s">
        <v>41</v>
      </c>
      <c r="AC120" s="68"/>
      <c r="AD120" s="68" t="s">
        <v>41</v>
      </c>
      <c r="AE120" s="68"/>
      <c r="AF120" s="68" t="s">
        <v>41</v>
      </c>
      <c r="AG120" s="68"/>
      <c r="AH120" s="68" t="s">
        <v>41</v>
      </c>
      <c r="AI120" s="68"/>
      <c r="AJ120" s="68" t="s">
        <v>41</v>
      </c>
      <c r="AK120" s="86"/>
    </row>
    <row r="121" customHeight="1" spans="2:37">
      <c r="B121" s="76"/>
      <c r="C121" s="77"/>
      <c r="D121" s="78">
        <f>SUM(F121:AK121)</f>
        <v>3</v>
      </c>
      <c r="E121" s="78"/>
      <c r="F121" s="78">
        <f>D97</f>
        <v>3</v>
      </c>
      <c r="G121" s="78"/>
      <c r="H121" s="78">
        <f>IF(H120="白刃格挡",D103,IF(H120="肉搏格挡",D107,0))</f>
        <v>0</v>
      </c>
      <c r="I121" s="78"/>
      <c r="J121" s="78">
        <f>IF(J120="盾牌防御",D105,0)</f>
        <v>0</v>
      </c>
      <c r="K121" s="78"/>
      <c r="L121" s="78">
        <f>IF(L120="闪避防御",D109,0)</f>
        <v>0</v>
      </c>
      <c r="M121" s="78"/>
      <c r="N121" s="78">
        <f>IF(N120="天生防御",D111,0)</f>
        <v>0</v>
      </c>
      <c r="O121" s="78"/>
      <c r="P121" s="78">
        <f>IF(P120="盔甲防御",D113,0)</f>
        <v>0</v>
      </c>
      <c r="Q121" s="78"/>
      <c r="R121" s="78">
        <f>IF(R120="洞察防御",D115,0)</f>
        <v>0</v>
      </c>
      <c r="S121" s="78"/>
      <c r="T121" s="78">
        <f>IF(T120="偏斜防御",D117,0)</f>
        <v>0</v>
      </c>
      <c r="U121" s="78"/>
      <c r="V121" s="78">
        <f>IF(V120="其他防御",D119,0)</f>
        <v>0</v>
      </c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279"/>
    </row>
    <row r="123" customHeight="1" spans="2:37">
      <c r="B123" s="63" t="s">
        <v>140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4"/>
    </row>
    <row r="124" customHeight="1" spans="2:37">
      <c r="B124" s="69" t="s">
        <v>141</v>
      </c>
      <c r="C124" s="70"/>
      <c r="D124" s="6" t="s">
        <v>101</v>
      </c>
      <c r="E124" s="6"/>
      <c r="F124" s="72" t="s">
        <v>59</v>
      </c>
      <c r="G124" s="72"/>
      <c r="H124" s="72" t="s">
        <v>93</v>
      </c>
      <c r="I124" s="72"/>
      <c r="J124" s="72" t="s">
        <v>72</v>
      </c>
      <c r="K124" s="72"/>
      <c r="L124" s="72" t="s">
        <v>109</v>
      </c>
      <c r="M124" s="72"/>
      <c r="N124" s="72" t="s">
        <v>41</v>
      </c>
      <c r="O124" s="72"/>
      <c r="P124" s="72" t="s">
        <v>41</v>
      </c>
      <c r="Q124" s="72"/>
      <c r="R124" s="72" t="s">
        <v>41</v>
      </c>
      <c r="S124" s="72"/>
      <c r="T124" s="72" t="s">
        <v>41</v>
      </c>
      <c r="U124" s="72"/>
      <c r="V124" s="72" t="s">
        <v>41</v>
      </c>
      <c r="W124" s="72"/>
      <c r="X124" s="72" t="s">
        <v>41</v>
      </c>
      <c r="Y124" s="72"/>
      <c r="Z124" s="72" t="s">
        <v>41</v>
      </c>
      <c r="AA124" s="72"/>
      <c r="AB124" s="72" t="s">
        <v>41</v>
      </c>
      <c r="AC124" s="72"/>
      <c r="AD124" s="72" t="s">
        <v>41</v>
      </c>
      <c r="AE124" s="72"/>
      <c r="AF124" s="72" t="s">
        <v>41</v>
      </c>
      <c r="AG124" s="72"/>
      <c r="AH124" s="72" t="s">
        <v>41</v>
      </c>
      <c r="AI124" s="72"/>
      <c r="AJ124" s="72" t="s">
        <v>41</v>
      </c>
      <c r="AK124" s="88"/>
    </row>
    <row r="125" customHeight="1" spans="2:37">
      <c r="B125" s="69"/>
      <c r="C125" s="70"/>
      <c r="D125" s="71">
        <f>SUM(F125:AK125)</f>
        <v>6</v>
      </c>
      <c r="E125" s="71"/>
      <c r="F125" s="71">
        <f>G21</f>
        <v>4</v>
      </c>
      <c r="G125" s="71"/>
      <c r="H125" s="71">
        <f>H62</f>
        <v>2</v>
      </c>
      <c r="I125" s="71"/>
      <c r="J125" s="71"/>
      <c r="K125" s="71"/>
      <c r="L125" s="71">
        <f>I21*3</f>
        <v>0</v>
      </c>
      <c r="M125" s="71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87"/>
    </row>
    <row r="126" customHeight="1" spans="2:37">
      <c r="B126" s="69"/>
      <c r="C126" s="70"/>
      <c r="D126" s="6" t="s">
        <v>142</v>
      </c>
      <c r="E126" s="6"/>
      <c r="F126" s="72" t="s">
        <v>109</v>
      </c>
      <c r="G126" s="72"/>
      <c r="H126" s="72" t="s">
        <v>143</v>
      </c>
      <c r="I126" s="72"/>
      <c r="J126" s="72" t="s">
        <v>41</v>
      </c>
      <c r="K126" s="72"/>
      <c r="L126" s="72" t="s">
        <v>41</v>
      </c>
      <c r="M126" s="72"/>
      <c r="N126" s="72" t="s">
        <v>41</v>
      </c>
      <c r="O126" s="72"/>
      <c r="P126" s="72" t="s">
        <v>41</v>
      </c>
      <c r="Q126" s="72"/>
      <c r="R126" s="72" t="s">
        <v>41</v>
      </c>
      <c r="S126" s="72"/>
      <c r="T126" s="72" t="s">
        <v>41</v>
      </c>
      <c r="U126" s="72"/>
      <c r="V126" s="72" t="s">
        <v>41</v>
      </c>
      <c r="W126" s="72"/>
      <c r="X126" s="72" t="s">
        <v>41</v>
      </c>
      <c r="Y126" s="72"/>
      <c r="Z126" s="72" t="s">
        <v>41</v>
      </c>
      <c r="AA126" s="72"/>
      <c r="AB126" s="72" t="s">
        <v>41</v>
      </c>
      <c r="AC126" s="72"/>
      <c r="AD126" s="72" t="s">
        <v>41</v>
      </c>
      <c r="AE126" s="72"/>
      <c r="AF126" s="72" t="s">
        <v>41</v>
      </c>
      <c r="AG126" s="72"/>
      <c r="AH126" s="72" t="s">
        <v>41</v>
      </c>
      <c r="AI126" s="72"/>
      <c r="AJ126" s="72" t="s">
        <v>41</v>
      </c>
      <c r="AK126" s="88"/>
    </row>
    <row r="127" customHeight="1" spans="2:37">
      <c r="B127" s="69"/>
      <c r="C127" s="70"/>
      <c r="D127" s="71">
        <f>SUM(F127:AK127)</f>
        <v>0</v>
      </c>
      <c r="E127" s="71"/>
      <c r="F127" s="71">
        <f>I21</f>
        <v>0</v>
      </c>
      <c r="G127" s="71"/>
      <c r="H127" s="71">
        <f>J62</f>
        <v>0</v>
      </c>
      <c r="I127" s="71"/>
      <c r="J127" s="71"/>
      <c r="K127" s="71"/>
      <c r="L127" s="71"/>
      <c r="M127" s="71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87"/>
    </row>
    <row r="128" customHeight="1" spans="2:37">
      <c r="B128" s="7" t="s">
        <v>144</v>
      </c>
      <c r="C128" s="6"/>
      <c r="D128" s="6" t="s">
        <v>101</v>
      </c>
      <c r="E128" s="6"/>
      <c r="F128" s="72" t="s">
        <v>49</v>
      </c>
      <c r="G128" s="72"/>
      <c r="H128" s="72" t="s">
        <v>75</v>
      </c>
      <c r="I128" s="72"/>
      <c r="J128" s="72" t="s">
        <v>72</v>
      </c>
      <c r="K128" s="72"/>
      <c r="L128" s="72" t="s">
        <v>124</v>
      </c>
      <c r="M128" s="72"/>
      <c r="N128" s="72" t="s">
        <v>41</v>
      </c>
      <c r="O128" s="72"/>
      <c r="P128" s="72" t="s">
        <v>41</v>
      </c>
      <c r="Q128" s="72"/>
      <c r="R128" s="72" t="s">
        <v>41</v>
      </c>
      <c r="S128" s="72"/>
      <c r="T128" s="72" t="s">
        <v>41</v>
      </c>
      <c r="U128" s="72"/>
      <c r="V128" s="72" t="s">
        <v>41</v>
      </c>
      <c r="W128" s="72"/>
      <c r="X128" s="72" t="s">
        <v>41</v>
      </c>
      <c r="Y128" s="72"/>
      <c r="Z128" s="72" t="s">
        <v>41</v>
      </c>
      <c r="AA128" s="72"/>
      <c r="AB128" s="72" t="s">
        <v>41</v>
      </c>
      <c r="AC128" s="72"/>
      <c r="AD128" s="72" t="s">
        <v>41</v>
      </c>
      <c r="AE128" s="72"/>
      <c r="AF128" s="72" t="s">
        <v>41</v>
      </c>
      <c r="AG128" s="72"/>
      <c r="AH128" s="72" t="s">
        <v>41</v>
      </c>
      <c r="AI128" s="72"/>
      <c r="AJ128" s="72" t="s">
        <v>41</v>
      </c>
      <c r="AK128" s="88"/>
    </row>
    <row r="129" customHeight="1" spans="2:37">
      <c r="B129" s="7"/>
      <c r="C129" s="6"/>
      <c r="D129" s="71">
        <f>SUM(F129:AK129)</f>
        <v>5</v>
      </c>
      <c r="E129" s="71"/>
      <c r="F129" s="71">
        <f>G17</f>
        <v>3</v>
      </c>
      <c r="G129" s="71"/>
      <c r="H129" s="71">
        <f>H28</f>
        <v>2</v>
      </c>
      <c r="I129" s="71"/>
      <c r="J129" s="71"/>
      <c r="K129" s="71"/>
      <c r="L129" s="71">
        <f>I17*3</f>
        <v>0</v>
      </c>
      <c r="M129" s="71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87"/>
    </row>
    <row r="130" customHeight="1" spans="2:37">
      <c r="B130" s="164"/>
      <c r="C130" s="232"/>
      <c r="D130" s="6" t="s">
        <v>142</v>
      </c>
      <c r="E130" s="6"/>
      <c r="F130" s="72" t="s">
        <v>124</v>
      </c>
      <c r="G130" s="72"/>
      <c r="H130" s="72" t="s">
        <v>145</v>
      </c>
      <c r="I130" s="72"/>
      <c r="J130" s="72" t="s">
        <v>41</v>
      </c>
      <c r="K130" s="72"/>
      <c r="L130" s="72" t="s">
        <v>41</v>
      </c>
      <c r="M130" s="72"/>
      <c r="N130" s="72" t="s">
        <v>41</v>
      </c>
      <c r="O130" s="72"/>
      <c r="P130" s="72" t="s">
        <v>41</v>
      </c>
      <c r="Q130" s="72"/>
      <c r="R130" s="72" t="s">
        <v>41</v>
      </c>
      <c r="S130" s="72"/>
      <c r="T130" s="72" t="s">
        <v>41</v>
      </c>
      <c r="U130" s="72"/>
      <c r="V130" s="72" t="s">
        <v>41</v>
      </c>
      <c r="W130" s="72"/>
      <c r="X130" s="72" t="s">
        <v>41</v>
      </c>
      <c r="Y130" s="72"/>
      <c r="Z130" s="72" t="s">
        <v>41</v>
      </c>
      <c r="AA130" s="72"/>
      <c r="AB130" s="72" t="s">
        <v>41</v>
      </c>
      <c r="AC130" s="72"/>
      <c r="AD130" s="72" t="s">
        <v>41</v>
      </c>
      <c r="AE130" s="72"/>
      <c r="AF130" s="72" t="s">
        <v>41</v>
      </c>
      <c r="AG130" s="72"/>
      <c r="AH130" s="72" t="s">
        <v>41</v>
      </c>
      <c r="AI130" s="72"/>
      <c r="AJ130" s="72" t="s">
        <v>41</v>
      </c>
      <c r="AK130" s="88"/>
    </row>
    <row r="131" customHeight="1" spans="2:37">
      <c r="B131" s="164"/>
      <c r="C131" s="232"/>
      <c r="D131" s="71">
        <f>SUM(F131:AK131)</f>
        <v>0</v>
      </c>
      <c r="E131" s="71"/>
      <c r="F131" s="71">
        <f>I17</f>
        <v>0</v>
      </c>
      <c r="G131" s="71"/>
      <c r="H131" s="71">
        <f>J28</f>
        <v>0</v>
      </c>
      <c r="I131" s="71"/>
      <c r="J131" s="71"/>
      <c r="K131" s="71"/>
      <c r="L131" s="71"/>
      <c r="M131" s="71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87"/>
    </row>
    <row r="132" customHeight="1" spans="2:37">
      <c r="B132" s="69" t="s">
        <v>146</v>
      </c>
      <c r="C132" s="70"/>
      <c r="D132" s="72" t="s">
        <v>101</v>
      </c>
      <c r="E132" s="72"/>
      <c r="F132" s="72" t="s">
        <v>52</v>
      </c>
      <c r="G132" s="72"/>
      <c r="H132" s="72" t="s">
        <v>81</v>
      </c>
      <c r="I132" s="72"/>
      <c r="J132" s="72" t="s">
        <v>72</v>
      </c>
      <c r="K132" s="72"/>
      <c r="L132" s="72" t="s">
        <v>111</v>
      </c>
      <c r="M132" s="72"/>
      <c r="N132" s="72" t="s">
        <v>41</v>
      </c>
      <c r="O132" s="72"/>
      <c r="P132" s="72" t="s">
        <v>41</v>
      </c>
      <c r="Q132" s="72"/>
      <c r="R132" s="72" t="s">
        <v>41</v>
      </c>
      <c r="S132" s="72"/>
      <c r="T132" s="72" t="s">
        <v>41</v>
      </c>
      <c r="U132" s="72"/>
      <c r="V132" s="72" t="s">
        <v>41</v>
      </c>
      <c r="W132" s="72"/>
      <c r="X132" s="72" t="s">
        <v>41</v>
      </c>
      <c r="Y132" s="72"/>
      <c r="Z132" s="72" t="s">
        <v>41</v>
      </c>
      <c r="AA132" s="72"/>
      <c r="AB132" s="72" t="s">
        <v>41</v>
      </c>
      <c r="AC132" s="72"/>
      <c r="AD132" s="72" t="s">
        <v>41</v>
      </c>
      <c r="AE132" s="72"/>
      <c r="AF132" s="72" t="s">
        <v>41</v>
      </c>
      <c r="AG132" s="72"/>
      <c r="AH132" s="72" t="s">
        <v>41</v>
      </c>
      <c r="AI132" s="72"/>
      <c r="AJ132" s="72" t="s">
        <v>41</v>
      </c>
      <c r="AK132" s="88"/>
    </row>
    <row r="133" customHeight="1" spans="2:37">
      <c r="B133" s="69"/>
      <c r="C133" s="70"/>
      <c r="D133" s="71">
        <f t="shared" ref="D133:D137" si="7">SUM(F133:AK133)</f>
        <v>4</v>
      </c>
      <c r="E133" s="71"/>
      <c r="F133" s="71">
        <f>G18</f>
        <v>4</v>
      </c>
      <c r="G133" s="71"/>
      <c r="H133" s="71">
        <f>H40</f>
        <v>0</v>
      </c>
      <c r="I133" s="71"/>
      <c r="J133" s="71"/>
      <c r="K133" s="71"/>
      <c r="L133" s="71">
        <f>I18*3</f>
        <v>0</v>
      </c>
      <c r="M133" s="71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87"/>
    </row>
    <row r="134" customHeight="1" spans="2:37">
      <c r="B134" s="69"/>
      <c r="C134" s="70"/>
      <c r="D134" s="72" t="s">
        <v>142</v>
      </c>
      <c r="E134" s="72"/>
      <c r="F134" s="72" t="s">
        <v>111</v>
      </c>
      <c r="G134" s="72"/>
      <c r="H134" s="72" t="s">
        <v>147</v>
      </c>
      <c r="I134" s="72"/>
      <c r="J134" s="72" t="s">
        <v>41</v>
      </c>
      <c r="K134" s="72"/>
      <c r="L134" s="72" t="s">
        <v>41</v>
      </c>
      <c r="M134" s="72"/>
      <c r="N134" s="72" t="s">
        <v>41</v>
      </c>
      <c r="O134" s="72"/>
      <c r="P134" s="72" t="s">
        <v>41</v>
      </c>
      <c r="Q134" s="72"/>
      <c r="R134" s="72" t="s">
        <v>41</v>
      </c>
      <c r="S134" s="72"/>
      <c r="T134" s="72" t="s">
        <v>41</v>
      </c>
      <c r="U134" s="72"/>
      <c r="V134" s="72" t="s">
        <v>41</v>
      </c>
      <c r="W134" s="72"/>
      <c r="X134" s="72" t="s">
        <v>41</v>
      </c>
      <c r="Y134" s="72"/>
      <c r="Z134" s="72" t="s">
        <v>41</v>
      </c>
      <c r="AA134" s="72"/>
      <c r="AB134" s="72" t="s">
        <v>41</v>
      </c>
      <c r="AC134" s="72"/>
      <c r="AD134" s="72" t="s">
        <v>41</v>
      </c>
      <c r="AE134" s="72"/>
      <c r="AF134" s="72" t="s">
        <v>41</v>
      </c>
      <c r="AG134" s="72"/>
      <c r="AH134" s="72" t="s">
        <v>41</v>
      </c>
      <c r="AI134" s="72"/>
      <c r="AJ134" s="72" t="s">
        <v>41</v>
      </c>
      <c r="AK134" s="88"/>
    </row>
    <row r="135" customHeight="1" spans="2:37">
      <c r="B135" s="69"/>
      <c r="C135" s="70"/>
      <c r="D135" s="71">
        <f t="shared" si="7"/>
        <v>0</v>
      </c>
      <c r="E135" s="71"/>
      <c r="F135" s="71">
        <f>I18</f>
        <v>0</v>
      </c>
      <c r="G135" s="71"/>
      <c r="H135" s="71">
        <f>J40</f>
        <v>0</v>
      </c>
      <c r="I135" s="71"/>
      <c r="J135" s="71"/>
      <c r="K135" s="71"/>
      <c r="L135" s="71"/>
      <c r="M135" s="71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87"/>
    </row>
    <row r="136" customHeight="1" spans="2:37">
      <c r="B136" s="7" t="s">
        <v>148</v>
      </c>
      <c r="C136" s="6"/>
      <c r="D136" s="6" t="s">
        <v>101</v>
      </c>
      <c r="E136" s="6"/>
      <c r="F136" s="72" t="s">
        <v>144</v>
      </c>
      <c r="G136" s="72"/>
      <c r="H136" s="72" t="s">
        <v>41</v>
      </c>
      <c r="I136" s="72"/>
      <c r="J136" s="72" t="s">
        <v>41</v>
      </c>
      <c r="K136" s="72"/>
      <c r="L136" s="72" t="s">
        <v>41</v>
      </c>
      <c r="M136" s="72"/>
      <c r="N136" s="72" t="s">
        <v>41</v>
      </c>
      <c r="O136" s="72"/>
      <c r="P136" s="72" t="s">
        <v>41</v>
      </c>
      <c r="Q136" s="72"/>
      <c r="R136" s="72" t="s">
        <v>41</v>
      </c>
      <c r="S136" s="72"/>
      <c r="T136" s="72" t="s">
        <v>41</v>
      </c>
      <c r="U136" s="72"/>
      <c r="V136" s="72" t="s">
        <v>41</v>
      </c>
      <c r="W136" s="72"/>
      <c r="X136" s="72" t="s">
        <v>41</v>
      </c>
      <c r="Y136" s="72"/>
      <c r="Z136" s="72" t="s">
        <v>41</v>
      </c>
      <c r="AA136" s="72"/>
      <c r="AB136" s="72" t="s">
        <v>41</v>
      </c>
      <c r="AC136" s="72"/>
      <c r="AD136" s="72" t="s">
        <v>41</v>
      </c>
      <c r="AE136" s="72"/>
      <c r="AF136" s="72" t="s">
        <v>41</v>
      </c>
      <c r="AG136" s="72"/>
      <c r="AH136" s="72" t="s">
        <v>41</v>
      </c>
      <c r="AI136" s="72"/>
      <c r="AJ136" s="72" t="s">
        <v>41</v>
      </c>
      <c r="AK136" s="88"/>
    </row>
    <row r="137" customHeight="1" spans="2:37">
      <c r="B137" s="7"/>
      <c r="C137" s="6"/>
      <c r="D137" s="71">
        <f t="shared" si="7"/>
        <v>5</v>
      </c>
      <c r="E137" s="71"/>
      <c r="F137" s="71">
        <f>IF(F136="意志豁免",D125,IF(F136="反射豁免",D129,IF(F136="强韧豁免",D133,0)))</f>
        <v>5</v>
      </c>
      <c r="G137" s="71"/>
      <c r="H137" s="71"/>
      <c r="I137" s="71"/>
      <c r="J137" s="71"/>
      <c r="K137" s="71"/>
      <c r="L137" s="71"/>
      <c r="M137" s="71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87"/>
    </row>
    <row r="138" customHeight="1" spans="2:37">
      <c r="B138" s="164"/>
      <c r="C138" s="232"/>
      <c r="D138" s="6" t="s">
        <v>142</v>
      </c>
      <c r="E138" s="6"/>
      <c r="F138" s="72" t="str">
        <f>IF(F136="意志豁免","意志豁免",IF(F136="反射豁免","反射豁免",IF(F136="强韧豁免","强韧豁免","")))</f>
        <v>反射豁免</v>
      </c>
      <c r="G138" s="72"/>
      <c r="H138" s="72" t="s">
        <v>41</v>
      </c>
      <c r="I138" s="72"/>
      <c r="J138" s="72" t="s">
        <v>41</v>
      </c>
      <c r="K138" s="72"/>
      <c r="L138" s="72" t="s">
        <v>41</v>
      </c>
      <c r="M138" s="72"/>
      <c r="N138" s="72" t="s">
        <v>41</v>
      </c>
      <c r="O138" s="72"/>
      <c r="P138" s="72" t="s">
        <v>41</v>
      </c>
      <c r="Q138" s="72"/>
      <c r="R138" s="72" t="s">
        <v>41</v>
      </c>
      <c r="S138" s="72"/>
      <c r="T138" s="72" t="s">
        <v>41</v>
      </c>
      <c r="U138" s="72"/>
      <c r="V138" s="72" t="s">
        <v>41</v>
      </c>
      <c r="W138" s="72"/>
      <c r="X138" s="72" t="s">
        <v>41</v>
      </c>
      <c r="Y138" s="72"/>
      <c r="Z138" s="72" t="s">
        <v>41</v>
      </c>
      <c r="AA138" s="72"/>
      <c r="AB138" s="72" t="s">
        <v>41</v>
      </c>
      <c r="AC138" s="72"/>
      <c r="AD138" s="72" t="s">
        <v>41</v>
      </c>
      <c r="AE138" s="72"/>
      <c r="AF138" s="72" t="s">
        <v>41</v>
      </c>
      <c r="AG138" s="72"/>
      <c r="AH138" s="72" t="s">
        <v>41</v>
      </c>
      <c r="AI138" s="72"/>
      <c r="AJ138" s="72" t="s">
        <v>41</v>
      </c>
      <c r="AK138" s="88"/>
    </row>
    <row r="139" customHeight="1" spans="2:37">
      <c r="B139" s="280"/>
      <c r="C139" s="272"/>
      <c r="D139" s="78">
        <f>SUM(F139:AK139)</f>
        <v>0</v>
      </c>
      <c r="E139" s="78"/>
      <c r="F139" s="78">
        <f>IF(F136="意志豁免",D127,IF(F136="反射豁免",D131,IF(F136="强韧豁免",D135,0)))</f>
        <v>0</v>
      </c>
      <c r="G139" s="78"/>
      <c r="H139" s="78"/>
      <c r="I139" s="78"/>
      <c r="J139" s="78"/>
      <c r="K139" s="78"/>
      <c r="L139" s="78"/>
      <c r="M139" s="78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90"/>
    </row>
    <row r="141" customHeight="1" spans="2:37">
      <c r="B141" s="63" t="s">
        <v>149</v>
      </c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4"/>
    </row>
    <row r="142" customHeight="1" spans="2:37">
      <c r="B142" s="69" t="s">
        <v>150</v>
      </c>
      <c r="C142" s="267"/>
      <c r="D142" s="72" t="s">
        <v>41</v>
      </c>
      <c r="E142" s="72"/>
      <c r="F142" s="72" t="s">
        <v>41</v>
      </c>
      <c r="G142" s="72"/>
      <c r="H142" s="72" t="s">
        <v>41</v>
      </c>
      <c r="I142" s="72"/>
      <c r="J142" s="72" t="s">
        <v>41</v>
      </c>
      <c r="K142" s="72"/>
      <c r="L142" s="72" t="s">
        <v>41</v>
      </c>
      <c r="M142" s="72"/>
      <c r="N142" s="72" t="s">
        <v>41</v>
      </c>
      <c r="O142" s="72"/>
      <c r="P142" s="72" t="s">
        <v>41</v>
      </c>
      <c r="Q142" s="72"/>
      <c r="R142" s="72" t="s">
        <v>41</v>
      </c>
      <c r="S142" s="72"/>
      <c r="T142" s="72" t="s">
        <v>41</v>
      </c>
      <c r="U142" s="72"/>
      <c r="V142" s="72" t="s">
        <v>41</v>
      </c>
      <c r="W142" s="72"/>
      <c r="X142" s="72" t="s">
        <v>41</v>
      </c>
      <c r="Y142" s="72"/>
      <c r="Z142" s="72" t="s">
        <v>41</v>
      </c>
      <c r="AA142" s="72"/>
      <c r="AB142" s="72" t="s">
        <v>41</v>
      </c>
      <c r="AC142" s="72"/>
      <c r="AD142" s="72" t="s">
        <v>41</v>
      </c>
      <c r="AE142" s="72"/>
      <c r="AF142" s="72" t="s">
        <v>41</v>
      </c>
      <c r="AG142" s="72"/>
      <c r="AH142" s="72" t="s">
        <v>41</v>
      </c>
      <c r="AI142" s="72"/>
      <c r="AJ142" s="72" t="s">
        <v>41</v>
      </c>
      <c r="AK142" s="88"/>
    </row>
    <row r="143" customHeight="1" spans="2:37">
      <c r="B143" s="69"/>
      <c r="C143" s="267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277"/>
    </row>
    <row r="144" customHeight="1" spans="2:37">
      <c r="B144" s="7" t="s">
        <v>151</v>
      </c>
      <c r="C144" s="12"/>
      <c r="D144" s="72" t="s">
        <v>152</v>
      </c>
      <c r="E144" s="72"/>
      <c r="F144" s="72" t="s">
        <v>153</v>
      </c>
      <c r="G144" s="72"/>
      <c r="H144" s="72" t="s">
        <v>154</v>
      </c>
      <c r="I144" s="72"/>
      <c r="J144" s="72" t="s">
        <v>41</v>
      </c>
      <c r="K144" s="72"/>
      <c r="L144" s="72" t="s">
        <v>41</v>
      </c>
      <c r="M144" s="72"/>
      <c r="N144" s="72" t="s">
        <v>41</v>
      </c>
      <c r="O144" s="72"/>
      <c r="P144" s="72" t="s">
        <v>41</v>
      </c>
      <c r="Q144" s="72"/>
      <c r="R144" s="72" t="s">
        <v>41</v>
      </c>
      <c r="S144" s="72"/>
      <c r="T144" s="72" t="s">
        <v>41</v>
      </c>
      <c r="U144" s="72"/>
      <c r="V144" s="72" t="s">
        <v>41</v>
      </c>
      <c r="W144" s="72"/>
      <c r="X144" s="72" t="s">
        <v>41</v>
      </c>
      <c r="Y144" s="72"/>
      <c r="Z144" s="72" t="s">
        <v>41</v>
      </c>
      <c r="AA144" s="72"/>
      <c r="AB144" s="72" t="s">
        <v>41</v>
      </c>
      <c r="AC144" s="72"/>
      <c r="AD144" s="72" t="s">
        <v>41</v>
      </c>
      <c r="AE144" s="72"/>
      <c r="AF144" s="72" t="s">
        <v>41</v>
      </c>
      <c r="AG144" s="72"/>
      <c r="AH144" s="72" t="s">
        <v>41</v>
      </c>
      <c r="AI144" s="72"/>
      <c r="AJ144" s="72" t="s">
        <v>41</v>
      </c>
      <c r="AK144" s="88"/>
    </row>
    <row r="145" customHeight="1" spans="2:37">
      <c r="B145" s="7"/>
      <c r="C145" s="12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277"/>
    </row>
    <row r="146" customHeight="1" spans="2:37">
      <c r="B146" s="69" t="s">
        <v>155</v>
      </c>
      <c r="C146" s="267"/>
      <c r="D146" s="72" t="s">
        <v>152</v>
      </c>
      <c r="E146" s="72"/>
      <c r="F146" s="72" t="s">
        <v>156</v>
      </c>
      <c r="G146" s="72"/>
      <c r="H146" s="72" t="s">
        <v>157</v>
      </c>
      <c r="I146" s="72"/>
      <c r="J146" s="72" t="s">
        <v>158</v>
      </c>
      <c r="K146" s="72"/>
      <c r="L146" s="72" t="s">
        <v>159</v>
      </c>
      <c r="M146" s="72"/>
      <c r="N146" s="72" t="s">
        <v>160</v>
      </c>
      <c r="O146" s="72"/>
      <c r="P146" s="72" t="s">
        <v>161</v>
      </c>
      <c r="Q146" s="72"/>
      <c r="R146" s="72" t="s">
        <v>162</v>
      </c>
      <c r="S146" s="72"/>
      <c r="T146" s="72" t="s">
        <v>163</v>
      </c>
      <c r="U146" s="72"/>
      <c r="V146" s="72" t="s">
        <v>41</v>
      </c>
      <c r="W146" s="72"/>
      <c r="X146" s="72" t="s">
        <v>41</v>
      </c>
      <c r="Y146" s="72"/>
      <c r="Z146" s="72" t="s">
        <v>41</v>
      </c>
      <c r="AA146" s="72"/>
      <c r="AB146" s="72" t="s">
        <v>41</v>
      </c>
      <c r="AC146" s="72"/>
      <c r="AD146" s="72" t="s">
        <v>41</v>
      </c>
      <c r="AE146" s="72"/>
      <c r="AF146" s="72" t="s">
        <v>41</v>
      </c>
      <c r="AG146" s="72"/>
      <c r="AH146" s="72" t="s">
        <v>41</v>
      </c>
      <c r="AI146" s="72"/>
      <c r="AJ146" s="72" t="s">
        <v>41</v>
      </c>
      <c r="AK146" s="88"/>
    </row>
    <row r="147" customHeight="1" spans="2:37">
      <c r="B147" s="69"/>
      <c r="C147" s="267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277"/>
    </row>
    <row r="148" customHeight="1" spans="2:37">
      <c r="B148" s="7" t="s">
        <v>164</v>
      </c>
      <c r="C148" s="12"/>
      <c r="D148" s="72" t="s">
        <v>101</v>
      </c>
      <c r="E148" s="72"/>
      <c r="F148" s="72" t="s">
        <v>41</v>
      </c>
      <c r="G148" s="72"/>
      <c r="H148" s="72" t="s">
        <v>41</v>
      </c>
      <c r="I148" s="72"/>
      <c r="J148" s="72" t="s">
        <v>41</v>
      </c>
      <c r="K148" s="72"/>
      <c r="L148" s="72" t="s">
        <v>41</v>
      </c>
      <c r="M148" s="72"/>
      <c r="N148" s="72" t="s">
        <v>41</v>
      </c>
      <c r="O148" s="72"/>
      <c r="P148" s="72" t="s">
        <v>41</v>
      </c>
      <c r="Q148" s="72"/>
      <c r="R148" s="72" t="s">
        <v>41</v>
      </c>
      <c r="S148" s="72"/>
      <c r="T148" s="72" t="s">
        <v>41</v>
      </c>
      <c r="U148" s="72"/>
      <c r="V148" s="72" t="s">
        <v>41</v>
      </c>
      <c r="W148" s="72"/>
      <c r="X148" s="72" t="s">
        <v>41</v>
      </c>
      <c r="Y148" s="72"/>
      <c r="Z148" s="72" t="s">
        <v>41</v>
      </c>
      <c r="AA148" s="72"/>
      <c r="AB148" s="72" t="s">
        <v>41</v>
      </c>
      <c r="AC148" s="72"/>
      <c r="AD148" s="72" t="s">
        <v>41</v>
      </c>
      <c r="AE148" s="72"/>
      <c r="AF148" s="72" t="s">
        <v>41</v>
      </c>
      <c r="AG148" s="72"/>
      <c r="AH148" s="72" t="s">
        <v>41</v>
      </c>
      <c r="AI148" s="72"/>
      <c r="AJ148" s="72" t="s">
        <v>41</v>
      </c>
      <c r="AK148" s="88"/>
    </row>
    <row r="149" customHeight="1" spans="2:37">
      <c r="B149" s="7"/>
      <c r="C149" s="12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277"/>
    </row>
    <row r="150" customHeight="1" spans="2:37">
      <c r="B150" s="69" t="s">
        <v>165</v>
      </c>
      <c r="C150" s="267"/>
      <c r="D150" s="72" t="s">
        <v>152</v>
      </c>
      <c r="E150" s="72"/>
      <c r="F150" s="72" t="s">
        <v>41</v>
      </c>
      <c r="G150" s="72"/>
      <c r="H150" s="72" t="s">
        <v>41</v>
      </c>
      <c r="I150" s="72"/>
      <c r="J150" s="72" t="s">
        <v>41</v>
      </c>
      <c r="K150" s="72"/>
      <c r="L150" s="72" t="s">
        <v>41</v>
      </c>
      <c r="M150" s="72"/>
      <c r="N150" s="72" t="s">
        <v>41</v>
      </c>
      <c r="O150" s="72"/>
      <c r="P150" s="72" t="s">
        <v>41</v>
      </c>
      <c r="Q150" s="72"/>
      <c r="R150" s="72" t="s">
        <v>41</v>
      </c>
      <c r="S150" s="72"/>
      <c r="T150" s="72" t="s">
        <v>41</v>
      </c>
      <c r="U150" s="72"/>
      <c r="V150" s="72" t="s">
        <v>41</v>
      </c>
      <c r="W150" s="72"/>
      <c r="X150" s="72" t="s">
        <v>41</v>
      </c>
      <c r="Y150" s="72"/>
      <c r="Z150" s="72" t="s">
        <v>41</v>
      </c>
      <c r="AA150" s="72"/>
      <c r="AB150" s="72" t="s">
        <v>41</v>
      </c>
      <c r="AC150" s="72"/>
      <c r="AD150" s="72" t="s">
        <v>41</v>
      </c>
      <c r="AE150" s="72"/>
      <c r="AF150" s="72" t="s">
        <v>41</v>
      </c>
      <c r="AG150" s="72"/>
      <c r="AH150" s="72" t="s">
        <v>41</v>
      </c>
      <c r="AI150" s="72"/>
      <c r="AJ150" s="72" t="s">
        <v>41</v>
      </c>
      <c r="AK150" s="88"/>
    </row>
    <row r="151" customHeight="1" spans="2:37">
      <c r="B151" s="69"/>
      <c r="C151" s="267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277"/>
    </row>
    <row r="152" customHeight="1" spans="2:37">
      <c r="B152" s="7" t="s">
        <v>41</v>
      </c>
      <c r="C152" s="12"/>
      <c r="D152" s="72" t="s">
        <v>41</v>
      </c>
      <c r="E152" s="72"/>
      <c r="F152" s="72" t="s">
        <v>41</v>
      </c>
      <c r="G152" s="72"/>
      <c r="H152" s="72" t="s">
        <v>41</v>
      </c>
      <c r="I152" s="72"/>
      <c r="J152" s="72" t="s">
        <v>41</v>
      </c>
      <c r="K152" s="72"/>
      <c r="L152" s="72" t="s">
        <v>41</v>
      </c>
      <c r="M152" s="72"/>
      <c r="N152" s="72" t="s">
        <v>41</v>
      </c>
      <c r="O152" s="72"/>
      <c r="P152" s="72" t="s">
        <v>41</v>
      </c>
      <c r="Q152" s="72"/>
      <c r="R152" s="72" t="s">
        <v>41</v>
      </c>
      <c r="S152" s="72"/>
      <c r="T152" s="72" t="s">
        <v>41</v>
      </c>
      <c r="U152" s="72"/>
      <c r="V152" s="72" t="s">
        <v>41</v>
      </c>
      <c r="W152" s="72"/>
      <c r="X152" s="72" t="s">
        <v>41</v>
      </c>
      <c r="Y152" s="72"/>
      <c r="Z152" s="72" t="s">
        <v>41</v>
      </c>
      <c r="AA152" s="72"/>
      <c r="AB152" s="72" t="s">
        <v>41</v>
      </c>
      <c r="AC152" s="72"/>
      <c r="AD152" s="72" t="s">
        <v>41</v>
      </c>
      <c r="AE152" s="72"/>
      <c r="AF152" s="72" t="s">
        <v>41</v>
      </c>
      <c r="AG152" s="72"/>
      <c r="AH152" s="72" t="s">
        <v>41</v>
      </c>
      <c r="AI152" s="72"/>
      <c r="AJ152" s="72" t="s">
        <v>41</v>
      </c>
      <c r="AK152" s="88"/>
    </row>
    <row r="153" customHeight="1" spans="2:37">
      <c r="B153" s="7"/>
      <c r="C153" s="12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277"/>
    </row>
    <row r="154" customHeight="1" spans="2:37">
      <c r="B154" s="69" t="s">
        <v>41</v>
      </c>
      <c r="C154" s="267"/>
      <c r="D154" s="72" t="s">
        <v>41</v>
      </c>
      <c r="E154" s="72"/>
      <c r="F154" s="72" t="s">
        <v>41</v>
      </c>
      <c r="G154" s="72"/>
      <c r="H154" s="72" t="s">
        <v>41</v>
      </c>
      <c r="I154" s="72"/>
      <c r="J154" s="72" t="s">
        <v>41</v>
      </c>
      <c r="K154" s="72"/>
      <c r="L154" s="72" t="s">
        <v>41</v>
      </c>
      <c r="M154" s="72"/>
      <c r="N154" s="72" t="s">
        <v>41</v>
      </c>
      <c r="O154" s="72"/>
      <c r="P154" s="72" t="s">
        <v>41</v>
      </c>
      <c r="Q154" s="72"/>
      <c r="R154" s="72" t="s">
        <v>41</v>
      </c>
      <c r="S154" s="72"/>
      <c r="T154" s="72" t="s">
        <v>41</v>
      </c>
      <c r="U154" s="72"/>
      <c r="V154" s="72" t="s">
        <v>41</v>
      </c>
      <c r="W154" s="72"/>
      <c r="X154" s="72" t="s">
        <v>41</v>
      </c>
      <c r="Y154" s="72"/>
      <c r="Z154" s="72" t="s">
        <v>41</v>
      </c>
      <c r="AA154" s="72"/>
      <c r="AB154" s="72" t="s">
        <v>41</v>
      </c>
      <c r="AC154" s="72"/>
      <c r="AD154" s="72" t="s">
        <v>41</v>
      </c>
      <c r="AE154" s="72"/>
      <c r="AF154" s="72" t="s">
        <v>41</v>
      </c>
      <c r="AG154" s="72"/>
      <c r="AH154" s="72" t="s">
        <v>41</v>
      </c>
      <c r="AI154" s="72"/>
      <c r="AJ154" s="72" t="s">
        <v>41</v>
      </c>
      <c r="AK154" s="88"/>
    </row>
    <row r="155" customHeight="1" spans="2:37">
      <c r="B155" s="69"/>
      <c r="C155" s="267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277"/>
    </row>
    <row r="156" customHeight="1" spans="2:37">
      <c r="B156" s="7" t="s">
        <v>41</v>
      </c>
      <c r="C156" s="12"/>
      <c r="D156" s="72" t="s">
        <v>41</v>
      </c>
      <c r="E156" s="72"/>
      <c r="F156" s="72" t="s">
        <v>41</v>
      </c>
      <c r="G156" s="72"/>
      <c r="H156" s="72" t="s">
        <v>41</v>
      </c>
      <c r="I156" s="72"/>
      <c r="J156" s="72" t="s">
        <v>41</v>
      </c>
      <c r="K156" s="72"/>
      <c r="L156" s="72" t="s">
        <v>41</v>
      </c>
      <c r="M156" s="72"/>
      <c r="N156" s="72" t="s">
        <v>41</v>
      </c>
      <c r="O156" s="72"/>
      <c r="P156" s="72" t="s">
        <v>41</v>
      </c>
      <c r="Q156" s="72"/>
      <c r="R156" s="72" t="s">
        <v>41</v>
      </c>
      <c r="S156" s="72"/>
      <c r="T156" s="72" t="s">
        <v>41</v>
      </c>
      <c r="U156" s="72"/>
      <c r="V156" s="72" t="s">
        <v>41</v>
      </c>
      <c r="W156" s="72"/>
      <c r="X156" s="72" t="s">
        <v>41</v>
      </c>
      <c r="Y156" s="72"/>
      <c r="Z156" s="72" t="s">
        <v>41</v>
      </c>
      <c r="AA156" s="72"/>
      <c r="AB156" s="72" t="s">
        <v>41</v>
      </c>
      <c r="AC156" s="72"/>
      <c r="AD156" s="72" t="s">
        <v>41</v>
      </c>
      <c r="AE156" s="72"/>
      <c r="AF156" s="72" t="s">
        <v>41</v>
      </c>
      <c r="AG156" s="72"/>
      <c r="AH156" s="72" t="s">
        <v>41</v>
      </c>
      <c r="AI156" s="72"/>
      <c r="AJ156" s="72" t="s">
        <v>41</v>
      </c>
      <c r="AK156" s="88"/>
    </row>
    <row r="157" customHeight="1" spans="2:37">
      <c r="B157" s="7"/>
      <c r="C157" s="12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277"/>
    </row>
    <row r="158" customHeight="1" spans="2:37">
      <c r="B158" s="69" t="s">
        <v>41</v>
      </c>
      <c r="C158" s="267"/>
      <c r="D158" s="72" t="s">
        <v>41</v>
      </c>
      <c r="E158" s="72"/>
      <c r="F158" s="72" t="s">
        <v>41</v>
      </c>
      <c r="G158" s="72"/>
      <c r="H158" s="72" t="s">
        <v>41</v>
      </c>
      <c r="I158" s="72"/>
      <c r="J158" s="72" t="s">
        <v>41</v>
      </c>
      <c r="K158" s="72"/>
      <c r="L158" s="72" t="s">
        <v>41</v>
      </c>
      <c r="M158" s="72"/>
      <c r="N158" s="72" t="s">
        <v>41</v>
      </c>
      <c r="O158" s="72"/>
      <c r="P158" s="72" t="s">
        <v>41</v>
      </c>
      <c r="Q158" s="72"/>
      <c r="R158" s="72" t="s">
        <v>41</v>
      </c>
      <c r="S158" s="72"/>
      <c r="T158" s="72" t="s">
        <v>41</v>
      </c>
      <c r="U158" s="72"/>
      <c r="V158" s="72" t="s">
        <v>41</v>
      </c>
      <c r="W158" s="72"/>
      <c r="X158" s="72" t="s">
        <v>41</v>
      </c>
      <c r="Y158" s="72"/>
      <c r="Z158" s="72" t="s">
        <v>41</v>
      </c>
      <c r="AA158" s="72"/>
      <c r="AB158" s="72" t="s">
        <v>41</v>
      </c>
      <c r="AC158" s="72"/>
      <c r="AD158" s="72" t="s">
        <v>41</v>
      </c>
      <c r="AE158" s="72"/>
      <c r="AF158" s="72" t="s">
        <v>41</v>
      </c>
      <c r="AG158" s="72"/>
      <c r="AH158" s="72" t="s">
        <v>41</v>
      </c>
      <c r="AI158" s="72"/>
      <c r="AJ158" s="72" t="s">
        <v>41</v>
      </c>
      <c r="AK158" s="88"/>
    </row>
    <row r="159" customHeight="1" spans="2:37">
      <c r="B159" s="69"/>
      <c r="C159" s="267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277"/>
    </row>
    <row r="160" customHeight="1" spans="2:37">
      <c r="B160" s="7" t="s">
        <v>41</v>
      </c>
      <c r="C160" s="12"/>
      <c r="D160" s="72" t="s">
        <v>41</v>
      </c>
      <c r="E160" s="72"/>
      <c r="F160" s="72" t="s">
        <v>41</v>
      </c>
      <c r="G160" s="72"/>
      <c r="H160" s="72" t="s">
        <v>41</v>
      </c>
      <c r="I160" s="72"/>
      <c r="J160" s="72" t="s">
        <v>41</v>
      </c>
      <c r="K160" s="72"/>
      <c r="L160" s="72" t="s">
        <v>41</v>
      </c>
      <c r="M160" s="72"/>
      <c r="N160" s="72" t="s">
        <v>41</v>
      </c>
      <c r="O160" s="72"/>
      <c r="P160" s="72" t="s">
        <v>41</v>
      </c>
      <c r="Q160" s="72"/>
      <c r="R160" s="72" t="s">
        <v>41</v>
      </c>
      <c r="S160" s="72"/>
      <c r="T160" s="72" t="s">
        <v>41</v>
      </c>
      <c r="U160" s="72"/>
      <c r="V160" s="72" t="s">
        <v>41</v>
      </c>
      <c r="W160" s="72"/>
      <c r="X160" s="72" t="s">
        <v>41</v>
      </c>
      <c r="Y160" s="72"/>
      <c r="Z160" s="72" t="s">
        <v>41</v>
      </c>
      <c r="AA160" s="72"/>
      <c r="AB160" s="72" t="s">
        <v>41</v>
      </c>
      <c r="AC160" s="72"/>
      <c r="AD160" s="72" t="s">
        <v>41</v>
      </c>
      <c r="AE160" s="72"/>
      <c r="AF160" s="72" t="s">
        <v>41</v>
      </c>
      <c r="AG160" s="72"/>
      <c r="AH160" s="72" t="s">
        <v>41</v>
      </c>
      <c r="AI160" s="72"/>
      <c r="AJ160" s="72" t="s">
        <v>41</v>
      </c>
      <c r="AK160" s="88"/>
    </row>
    <row r="161" customHeight="1" spans="2:37">
      <c r="B161" s="7"/>
      <c r="C161" s="12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277"/>
    </row>
    <row r="162" customHeight="1" spans="2:37">
      <c r="B162" s="69" t="s">
        <v>41</v>
      </c>
      <c r="C162" s="267"/>
      <c r="D162" s="72" t="s">
        <v>41</v>
      </c>
      <c r="E162" s="72"/>
      <c r="F162" s="72" t="s">
        <v>41</v>
      </c>
      <c r="G162" s="72"/>
      <c r="H162" s="72" t="s">
        <v>41</v>
      </c>
      <c r="I162" s="72"/>
      <c r="J162" s="72" t="s">
        <v>41</v>
      </c>
      <c r="K162" s="72"/>
      <c r="L162" s="72" t="s">
        <v>41</v>
      </c>
      <c r="M162" s="72"/>
      <c r="N162" s="72" t="s">
        <v>41</v>
      </c>
      <c r="O162" s="72"/>
      <c r="P162" s="72" t="s">
        <v>41</v>
      </c>
      <c r="Q162" s="72"/>
      <c r="R162" s="72" t="s">
        <v>41</v>
      </c>
      <c r="S162" s="72"/>
      <c r="T162" s="72" t="s">
        <v>41</v>
      </c>
      <c r="U162" s="72"/>
      <c r="V162" s="72" t="s">
        <v>41</v>
      </c>
      <c r="W162" s="72"/>
      <c r="X162" s="72" t="s">
        <v>41</v>
      </c>
      <c r="Y162" s="72"/>
      <c r="Z162" s="72" t="s">
        <v>41</v>
      </c>
      <c r="AA162" s="72"/>
      <c r="AB162" s="72" t="s">
        <v>41</v>
      </c>
      <c r="AC162" s="72"/>
      <c r="AD162" s="72" t="s">
        <v>41</v>
      </c>
      <c r="AE162" s="72"/>
      <c r="AF162" s="72" t="s">
        <v>41</v>
      </c>
      <c r="AG162" s="72"/>
      <c r="AH162" s="72" t="s">
        <v>41</v>
      </c>
      <c r="AI162" s="72"/>
      <c r="AJ162" s="72" t="s">
        <v>41</v>
      </c>
      <c r="AK162" s="88"/>
    </row>
    <row r="163" customHeight="1" spans="2:37">
      <c r="B163" s="76"/>
      <c r="C163" s="77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279"/>
    </row>
  </sheetData>
  <sheetProtection password="C53F" sheet="1" pivotTables="0"/>
  <mergeCells count="2251">
    <mergeCell ref="B2:AE2"/>
    <mergeCell ref="AG2:AI2"/>
    <mergeCell ref="AJ2:AN2"/>
    <mergeCell ref="AO2:AQ2"/>
    <mergeCell ref="AR2:AV2"/>
    <mergeCell ref="B3:C3"/>
    <mergeCell ref="D3:F3"/>
    <mergeCell ref="G3:H3"/>
    <mergeCell ref="I3:K3"/>
    <mergeCell ref="B4:C4"/>
    <mergeCell ref="D4:F4"/>
    <mergeCell ref="G4:H4"/>
    <mergeCell ref="I4:K4"/>
    <mergeCell ref="AG4:AN4"/>
    <mergeCell ref="B5:C5"/>
    <mergeCell ref="D5:F5"/>
    <mergeCell ref="G5:H5"/>
    <mergeCell ref="I5:K5"/>
    <mergeCell ref="B6:C6"/>
    <mergeCell ref="D6:K6"/>
    <mergeCell ref="B14:Z14"/>
    <mergeCell ref="AB14:AE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B15:AC15"/>
    <mergeCell ref="AD15:AE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C16"/>
    <mergeCell ref="AD16:AE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B17:AC17"/>
    <mergeCell ref="AD17:AE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B18:AE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B23:AE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B24:AE24"/>
    <mergeCell ref="B26:AK26"/>
    <mergeCell ref="B27:C27"/>
    <mergeCell ref="D27:E27"/>
    <mergeCell ref="F27:G27"/>
    <mergeCell ref="H27:I27"/>
    <mergeCell ref="J27:K27"/>
    <mergeCell ref="L27:M27"/>
    <mergeCell ref="N27:O27"/>
    <mergeCell ref="P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P65:Q65"/>
    <mergeCell ref="R65:S65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P69:Q69"/>
    <mergeCell ref="R69:S69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P70:Q70"/>
    <mergeCell ref="R70:S70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AJ70:AK70"/>
    <mergeCell ref="P71:Q71"/>
    <mergeCell ref="R71:S71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P72:Q72"/>
    <mergeCell ref="R72:S72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AJ72:AK72"/>
    <mergeCell ref="P73:Q73"/>
    <mergeCell ref="R73:S73"/>
    <mergeCell ref="T73:U73"/>
    <mergeCell ref="V73:W73"/>
    <mergeCell ref="X73:Y73"/>
    <mergeCell ref="Z73:AA73"/>
    <mergeCell ref="AB73:AC73"/>
    <mergeCell ref="AD73:AE73"/>
    <mergeCell ref="AF73:AG73"/>
    <mergeCell ref="AH73:AI73"/>
    <mergeCell ref="AJ73:AK73"/>
    <mergeCell ref="P74:Q74"/>
    <mergeCell ref="R74:S74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J75:AK75"/>
    <mergeCell ref="P76:Q76"/>
    <mergeCell ref="R76:S76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AJ76:AK76"/>
    <mergeCell ref="P77:Q77"/>
    <mergeCell ref="R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B79:AK79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AJ81:AK81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AJ82:AK82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AJ83:AK83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AJ84:AK84"/>
    <mergeCell ref="D85:E85"/>
    <mergeCell ref="F85:G85"/>
    <mergeCell ref="H85:I85"/>
    <mergeCell ref="J85:K85"/>
    <mergeCell ref="L85:M85"/>
    <mergeCell ref="N85:O85"/>
    <mergeCell ref="P85:Q85"/>
    <mergeCell ref="R85:S85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AJ85:AK85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AJ86:AK86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V87:W87"/>
    <mergeCell ref="X87:Y87"/>
    <mergeCell ref="Z87:AA87"/>
    <mergeCell ref="AB87:AC87"/>
    <mergeCell ref="AD87:AE87"/>
    <mergeCell ref="AF87:AG87"/>
    <mergeCell ref="AH87:AI87"/>
    <mergeCell ref="AJ87:AK87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V88:W88"/>
    <mergeCell ref="X88:Y88"/>
    <mergeCell ref="Z88:AA88"/>
    <mergeCell ref="AB88:AC88"/>
    <mergeCell ref="AD88:AE88"/>
    <mergeCell ref="AF88:AG88"/>
    <mergeCell ref="AH88:AI88"/>
    <mergeCell ref="AJ88:AK88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V89:W89"/>
    <mergeCell ref="X89:Y89"/>
    <mergeCell ref="Z89:AA89"/>
    <mergeCell ref="AB89:AC89"/>
    <mergeCell ref="AD89:AE89"/>
    <mergeCell ref="AF89:AG89"/>
    <mergeCell ref="AH89:AI89"/>
    <mergeCell ref="AJ89:AK89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V90:W90"/>
    <mergeCell ref="X90:Y90"/>
    <mergeCell ref="Z90:AA90"/>
    <mergeCell ref="AB90:AC90"/>
    <mergeCell ref="AD90:AE90"/>
    <mergeCell ref="AF90:AG90"/>
    <mergeCell ref="AH90:AI90"/>
    <mergeCell ref="AJ90:AK90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AJ91:AK91"/>
    <mergeCell ref="B95:AK95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AJ100:AK100"/>
    <mergeCell ref="D101:E101"/>
    <mergeCell ref="F101:G101"/>
    <mergeCell ref="H101:I101"/>
    <mergeCell ref="J101:K101"/>
    <mergeCell ref="L101:M101"/>
    <mergeCell ref="N101:O101"/>
    <mergeCell ref="P101:Q101"/>
    <mergeCell ref="R101:S101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D102:E102"/>
    <mergeCell ref="F102:G102"/>
    <mergeCell ref="H102:I102"/>
    <mergeCell ref="J102:K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AJ102:AK102"/>
    <mergeCell ref="D103:E103"/>
    <mergeCell ref="F103:G103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AJ103:AK103"/>
    <mergeCell ref="D104:E104"/>
    <mergeCell ref="F104:G104"/>
    <mergeCell ref="H104:I104"/>
    <mergeCell ref="J104:K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AJ104:AK104"/>
    <mergeCell ref="D105:E105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D107:E107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D108:E108"/>
    <mergeCell ref="F108:G108"/>
    <mergeCell ref="H108:I108"/>
    <mergeCell ref="J108:K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D109:E109"/>
    <mergeCell ref="F109:G109"/>
    <mergeCell ref="H109:I109"/>
    <mergeCell ref="J109:K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AJ109:AK109"/>
    <mergeCell ref="D110:E110"/>
    <mergeCell ref="F110:G110"/>
    <mergeCell ref="H110:I110"/>
    <mergeCell ref="J110:K110"/>
    <mergeCell ref="L110:M110"/>
    <mergeCell ref="N110:O110"/>
    <mergeCell ref="P110:Q110"/>
    <mergeCell ref="R110:S110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D111:E111"/>
    <mergeCell ref="F111:G111"/>
    <mergeCell ref="H111:I111"/>
    <mergeCell ref="J111:K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AJ111:AK111"/>
    <mergeCell ref="D112:E112"/>
    <mergeCell ref="F112:G112"/>
    <mergeCell ref="H112:I112"/>
    <mergeCell ref="J112:K112"/>
    <mergeCell ref="L112:M112"/>
    <mergeCell ref="N112:O112"/>
    <mergeCell ref="P112:Q112"/>
    <mergeCell ref="R112:S112"/>
    <mergeCell ref="T112:U112"/>
    <mergeCell ref="V112:W112"/>
    <mergeCell ref="X112:Y112"/>
    <mergeCell ref="Z112:AA112"/>
    <mergeCell ref="AB112:AC112"/>
    <mergeCell ref="AD112:AE112"/>
    <mergeCell ref="AF112:AG112"/>
    <mergeCell ref="AH112:AI112"/>
    <mergeCell ref="AJ112:AK112"/>
    <mergeCell ref="D113:E113"/>
    <mergeCell ref="F113:G113"/>
    <mergeCell ref="H113:I113"/>
    <mergeCell ref="J113:K113"/>
    <mergeCell ref="L113:M113"/>
    <mergeCell ref="N113:O113"/>
    <mergeCell ref="P113:Q113"/>
    <mergeCell ref="R113:S113"/>
    <mergeCell ref="T113:U113"/>
    <mergeCell ref="V113:W113"/>
    <mergeCell ref="X113:Y113"/>
    <mergeCell ref="Z113:AA113"/>
    <mergeCell ref="AB113:AC113"/>
    <mergeCell ref="AD113:AE113"/>
    <mergeCell ref="AF113:AG113"/>
    <mergeCell ref="AH113:AI113"/>
    <mergeCell ref="AJ113:AK113"/>
    <mergeCell ref="D114:E114"/>
    <mergeCell ref="F114:G114"/>
    <mergeCell ref="H114:I114"/>
    <mergeCell ref="J114:K114"/>
    <mergeCell ref="L114:M114"/>
    <mergeCell ref="N114:O114"/>
    <mergeCell ref="P114:Q114"/>
    <mergeCell ref="R114:S114"/>
    <mergeCell ref="T114:U114"/>
    <mergeCell ref="V114:W114"/>
    <mergeCell ref="X114:Y114"/>
    <mergeCell ref="Z114:AA114"/>
    <mergeCell ref="AB114:AC114"/>
    <mergeCell ref="AD114:AE114"/>
    <mergeCell ref="AF114:AG114"/>
    <mergeCell ref="AH114:AI114"/>
    <mergeCell ref="AJ114:AK114"/>
    <mergeCell ref="D115:E115"/>
    <mergeCell ref="F115:G115"/>
    <mergeCell ref="H115:I115"/>
    <mergeCell ref="J115:K115"/>
    <mergeCell ref="L115:M115"/>
    <mergeCell ref="N115:O115"/>
    <mergeCell ref="P115:Q115"/>
    <mergeCell ref="R115:S115"/>
    <mergeCell ref="T115:U115"/>
    <mergeCell ref="V115:W115"/>
    <mergeCell ref="X115:Y115"/>
    <mergeCell ref="Z115:AA115"/>
    <mergeCell ref="AB115:AC115"/>
    <mergeCell ref="AD115:AE115"/>
    <mergeCell ref="AF115:AG115"/>
    <mergeCell ref="AH115:AI115"/>
    <mergeCell ref="AJ115:AK115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AB116:AC116"/>
    <mergeCell ref="AD116:AE116"/>
    <mergeCell ref="AF116:AG116"/>
    <mergeCell ref="AH116:AI116"/>
    <mergeCell ref="AJ116:AK116"/>
    <mergeCell ref="D117:E117"/>
    <mergeCell ref="F117:G117"/>
    <mergeCell ref="H117:I117"/>
    <mergeCell ref="J117:K117"/>
    <mergeCell ref="L117:M117"/>
    <mergeCell ref="N117:O117"/>
    <mergeCell ref="P117:Q117"/>
    <mergeCell ref="R117:S117"/>
    <mergeCell ref="T117:U117"/>
    <mergeCell ref="V117:W117"/>
    <mergeCell ref="X117:Y117"/>
    <mergeCell ref="Z117:AA117"/>
    <mergeCell ref="AB117:AC117"/>
    <mergeCell ref="AD117:AE117"/>
    <mergeCell ref="AF117:AG117"/>
    <mergeCell ref="AH117:AI117"/>
    <mergeCell ref="AJ117:AK117"/>
    <mergeCell ref="D118:E118"/>
    <mergeCell ref="F118:G118"/>
    <mergeCell ref="H118:I118"/>
    <mergeCell ref="J118:K118"/>
    <mergeCell ref="L118:M118"/>
    <mergeCell ref="N118:O118"/>
    <mergeCell ref="P118:Q118"/>
    <mergeCell ref="R118:S118"/>
    <mergeCell ref="T118:U118"/>
    <mergeCell ref="V118:W118"/>
    <mergeCell ref="X118:Y118"/>
    <mergeCell ref="Z118:AA118"/>
    <mergeCell ref="AB118:AC118"/>
    <mergeCell ref="AD118:AE118"/>
    <mergeCell ref="AF118:AG118"/>
    <mergeCell ref="AH118:AI118"/>
    <mergeCell ref="AJ118:AK118"/>
    <mergeCell ref="D119:E119"/>
    <mergeCell ref="F119:G119"/>
    <mergeCell ref="H119:I119"/>
    <mergeCell ref="J119:K119"/>
    <mergeCell ref="L119:M119"/>
    <mergeCell ref="N119:O119"/>
    <mergeCell ref="P119:Q119"/>
    <mergeCell ref="R119:S119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AJ119:AK119"/>
    <mergeCell ref="D120:E120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X120:Y120"/>
    <mergeCell ref="Z120:AA120"/>
    <mergeCell ref="AB120:AC120"/>
    <mergeCell ref="AD120:AE120"/>
    <mergeCell ref="AF120:AG120"/>
    <mergeCell ref="AH120:AI120"/>
    <mergeCell ref="AJ120:AK120"/>
    <mergeCell ref="D121:E121"/>
    <mergeCell ref="F121:G121"/>
    <mergeCell ref="H121:I121"/>
    <mergeCell ref="J121:K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AJ121:AK121"/>
    <mergeCell ref="B123:AK123"/>
    <mergeCell ref="D124:E124"/>
    <mergeCell ref="F124:G124"/>
    <mergeCell ref="H124:I124"/>
    <mergeCell ref="J124:K124"/>
    <mergeCell ref="L124:M124"/>
    <mergeCell ref="N124:O124"/>
    <mergeCell ref="P124:Q124"/>
    <mergeCell ref="R124:S124"/>
    <mergeCell ref="T124:U124"/>
    <mergeCell ref="V124:W124"/>
    <mergeCell ref="X124:Y124"/>
    <mergeCell ref="Z124:AA124"/>
    <mergeCell ref="AB124:AC124"/>
    <mergeCell ref="AD124:AE124"/>
    <mergeCell ref="AF124:AG124"/>
    <mergeCell ref="AH124:AI124"/>
    <mergeCell ref="AJ124:AK124"/>
    <mergeCell ref="D125:E125"/>
    <mergeCell ref="F125:G125"/>
    <mergeCell ref="H125:I125"/>
    <mergeCell ref="J125:K125"/>
    <mergeCell ref="L125:M125"/>
    <mergeCell ref="N125:O125"/>
    <mergeCell ref="P125:Q125"/>
    <mergeCell ref="R125:S125"/>
    <mergeCell ref="T125:U125"/>
    <mergeCell ref="V125:W125"/>
    <mergeCell ref="X125:Y125"/>
    <mergeCell ref="Z125:AA125"/>
    <mergeCell ref="AB125:AC125"/>
    <mergeCell ref="AD125:AE125"/>
    <mergeCell ref="AF125:AG125"/>
    <mergeCell ref="AH125:AI125"/>
    <mergeCell ref="AJ125:AK125"/>
    <mergeCell ref="D126:E126"/>
    <mergeCell ref="F126:G126"/>
    <mergeCell ref="H126:I126"/>
    <mergeCell ref="J126:K126"/>
    <mergeCell ref="L126:M126"/>
    <mergeCell ref="N126:O126"/>
    <mergeCell ref="P126:Q126"/>
    <mergeCell ref="R126:S126"/>
    <mergeCell ref="T126:U126"/>
    <mergeCell ref="V126:W126"/>
    <mergeCell ref="X126:Y126"/>
    <mergeCell ref="Z126:AA126"/>
    <mergeCell ref="AB126:AC126"/>
    <mergeCell ref="AD126:AE126"/>
    <mergeCell ref="AF126:AG126"/>
    <mergeCell ref="AH126:AI126"/>
    <mergeCell ref="AJ126:AK126"/>
    <mergeCell ref="D127:E127"/>
    <mergeCell ref="F127:G127"/>
    <mergeCell ref="H127:I127"/>
    <mergeCell ref="J127:K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AJ127:AK127"/>
    <mergeCell ref="D128:E128"/>
    <mergeCell ref="F128:G128"/>
    <mergeCell ref="H128:I128"/>
    <mergeCell ref="J128:K128"/>
    <mergeCell ref="L128:M128"/>
    <mergeCell ref="N128:O128"/>
    <mergeCell ref="P128:Q128"/>
    <mergeCell ref="R128:S128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AJ128:AK128"/>
    <mergeCell ref="D129:E129"/>
    <mergeCell ref="F129:G129"/>
    <mergeCell ref="H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Z129:AA129"/>
    <mergeCell ref="AB129:AC129"/>
    <mergeCell ref="AD129:AE129"/>
    <mergeCell ref="AF129:AG129"/>
    <mergeCell ref="AH129:AI129"/>
    <mergeCell ref="AJ129:AK129"/>
    <mergeCell ref="D130:E130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AJ130:AK130"/>
    <mergeCell ref="D131:E131"/>
    <mergeCell ref="F131:G131"/>
    <mergeCell ref="H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Z131:AA131"/>
    <mergeCell ref="AB131:AC131"/>
    <mergeCell ref="AD131:AE131"/>
    <mergeCell ref="AF131:AG131"/>
    <mergeCell ref="AH131:AI131"/>
    <mergeCell ref="AJ131:AK131"/>
    <mergeCell ref="D132:E132"/>
    <mergeCell ref="F132:G132"/>
    <mergeCell ref="H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Z132:AA132"/>
    <mergeCell ref="AB132:AC132"/>
    <mergeCell ref="AD132:AE132"/>
    <mergeCell ref="AF132:AG132"/>
    <mergeCell ref="AH132:AI132"/>
    <mergeCell ref="AJ132:AK132"/>
    <mergeCell ref="D133:E133"/>
    <mergeCell ref="F133:G133"/>
    <mergeCell ref="H133:I133"/>
    <mergeCell ref="J133:K133"/>
    <mergeCell ref="L133:M133"/>
    <mergeCell ref="N133:O133"/>
    <mergeCell ref="P133:Q133"/>
    <mergeCell ref="R133:S133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AJ133:AK133"/>
    <mergeCell ref="D134:E134"/>
    <mergeCell ref="F134:G134"/>
    <mergeCell ref="H134:I134"/>
    <mergeCell ref="J134:K134"/>
    <mergeCell ref="L134:M134"/>
    <mergeCell ref="N134:O134"/>
    <mergeCell ref="P134:Q134"/>
    <mergeCell ref="R134:S134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D135:E135"/>
    <mergeCell ref="F135:G135"/>
    <mergeCell ref="H135:I135"/>
    <mergeCell ref="J135:K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AJ135:AK135"/>
    <mergeCell ref="D136:E136"/>
    <mergeCell ref="F136:G136"/>
    <mergeCell ref="H136:I136"/>
    <mergeCell ref="J136:K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AJ136:AK136"/>
    <mergeCell ref="D137:E137"/>
    <mergeCell ref="F137:G137"/>
    <mergeCell ref="H137:I137"/>
    <mergeCell ref="J137:K137"/>
    <mergeCell ref="L137:M137"/>
    <mergeCell ref="N137:O137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AJ137:AK137"/>
    <mergeCell ref="D138:E138"/>
    <mergeCell ref="F138:G138"/>
    <mergeCell ref="H138:I138"/>
    <mergeCell ref="J138:K138"/>
    <mergeCell ref="L138:M138"/>
    <mergeCell ref="N138:O138"/>
    <mergeCell ref="P138:Q138"/>
    <mergeCell ref="R138:S138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AJ138:AK138"/>
    <mergeCell ref="D139:E139"/>
    <mergeCell ref="F139:G139"/>
    <mergeCell ref="H139:I139"/>
    <mergeCell ref="J139:K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AJ139:AK139"/>
    <mergeCell ref="B141:AK141"/>
    <mergeCell ref="D142:E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AJ142:AK142"/>
    <mergeCell ref="D143:E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D144:E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AJ144:AK144"/>
    <mergeCell ref="D145:E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AJ145:AK145"/>
    <mergeCell ref="D146:E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AJ146:AK146"/>
    <mergeCell ref="D147:E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AJ147:AK147"/>
    <mergeCell ref="D148:E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AJ148:AK148"/>
    <mergeCell ref="D149:E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AJ149:AK149"/>
    <mergeCell ref="D150:E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D151:E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AJ151:AK151"/>
    <mergeCell ref="D152:E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D153:E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AJ153:AK153"/>
    <mergeCell ref="D154:E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V154:W154"/>
    <mergeCell ref="X154:Y154"/>
    <mergeCell ref="Z154:AA154"/>
    <mergeCell ref="AB154:AC154"/>
    <mergeCell ref="AD154:AE154"/>
    <mergeCell ref="AF154:AG154"/>
    <mergeCell ref="AH154:AI154"/>
    <mergeCell ref="AJ154:AK154"/>
    <mergeCell ref="D155:E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V155:W155"/>
    <mergeCell ref="X155:Y155"/>
    <mergeCell ref="Z155:AA155"/>
    <mergeCell ref="AB155:AC155"/>
    <mergeCell ref="AD155:AE155"/>
    <mergeCell ref="AF155:AG155"/>
    <mergeCell ref="AH155:AI155"/>
    <mergeCell ref="AJ155:AK155"/>
    <mergeCell ref="D156:E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V156:W156"/>
    <mergeCell ref="X156:Y156"/>
    <mergeCell ref="Z156:AA156"/>
    <mergeCell ref="AB156:AC156"/>
    <mergeCell ref="AD156:AE156"/>
    <mergeCell ref="AF156:AG156"/>
    <mergeCell ref="AH156:AI156"/>
    <mergeCell ref="AJ156:AK156"/>
    <mergeCell ref="D157:E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V157:W157"/>
    <mergeCell ref="X157:Y157"/>
    <mergeCell ref="Z157:AA157"/>
    <mergeCell ref="AB157:AC157"/>
    <mergeCell ref="AD157:AE157"/>
    <mergeCell ref="AF157:AG157"/>
    <mergeCell ref="AH157:AI157"/>
    <mergeCell ref="AJ157:AK157"/>
    <mergeCell ref="D158:E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V158:W158"/>
    <mergeCell ref="X158:Y158"/>
    <mergeCell ref="Z158:AA158"/>
    <mergeCell ref="AB158:AC158"/>
    <mergeCell ref="AD158:AE158"/>
    <mergeCell ref="AF158:AG158"/>
    <mergeCell ref="AH158:AI158"/>
    <mergeCell ref="AJ158:AK158"/>
    <mergeCell ref="D159:E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V159:W159"/>
    <mergeCell ref="X159:Y159"/>
    <mergeCell ref="Z159:AA159"/>
    <mergeCell ref="AB159:AC159"/>
    <mergeCell ref="AD159:AE159"/>
    <mergeCell ref="AF159:AG159"/>
    <mergeCell ref="AH159:AI159"/>
    <mergeCell ref="AJ159:AK159"/>
    <mergeCell ref="D160:E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V160:W160"/>
    <mergeCell ref="X160:Y160"/>
    <mergeCell ref="Z160:AA160"/>
    <mergeCell ref="AB160:AC160"/>
    <mergeCell ref="AD160:AE160"/>
    <mergeCell ref="AF160:AG160"/>
    <mergeCell ref="AH160:AI160"/>
    <mergeCell ref="AJ160:AK160"/>
    <mergeCell ref="D161:E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V161:W161"/>
    <mergeCell ref="X161:Y161"/>
    <mergeCell ref="Z161:AA161"/>
    <mergeCell ref="AB161:AC161"/>
    <mergeCell ref="AD161:AE161"/>
    <mergeCell ref="AF161:AG161"/>
    <mergeCell ref="AH161:AI161"/>
    <mergeCell ref="AJ161:AK161"/>
    <mergeCell ref="D162:E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V162:W162"/>
    <mergeCell ref="X162:Y162"/>
    <mergeCell ref="Z162:AA162"/>
    <mergeCell ref="AB162:AC162"/>
    <mergeCell ref="AD162:AE162"/>
    <mergeCell ref="AF162:AG162"/>
    <mergeCell ref="AH162:AI162"/>
    <mergeCell ref="AJ162:AK162"/>
    <mergeCell ref="D163:E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B16:B18"/>
    <mergeCell ref="B19:B21"/>
    <mergeCell ref="B22:B24"/>
    <mergeCell ref="AG5:AG6"/>
    <mergeCell ref="AG7:AG8"/>
    <mergeCell ref="AG9:AG10"/>
    <mergeCell ref="AG11:AG12"/>
    <mergeCell ref="AG13:AG14"/>
    <mergeCell ref="AG15:AG16"/>
    <mergeCell ref="AG17:AG18"/>
    <mergeCell ref="AG19:AG20"/>
    <mergeCell ref="AG21:AG22"/>
    <mergeCell ref="AG23:AG24"/>
    <mergeCell ref="L3:X12"/>
    <mergeCell ref="B7:C9"/>
    <mergeCell ref="B10:C12"/>
    <mergeCell ref="D7:K9"/>
    <mergeCell ref="D10:K12"/>
    <mergeCell ref="AB19:AE22"/>
    <mergeCell ref="Y3:AE12"/>
    <mergeCell ref="D52:E53"/>
    <mergeCell ref="F52:G53"/>
    <mergeCell ref="H52:I53"/>
    <mergeCell ref="J52:K53"/>
    <mergeCell ref="L52:M53"/>
    <mergeCell ref="N52:O53"/>
    <mergeCell ref="D56:E57"/>
    <mergeCell ref="F56:G57"/>
    <mergeCell ref="H56:I57"/>
    <mergeCell ref="J56:K57"/>
    <mergeCell ref="L56:M57"/>
    <mergeCell ref="N56:O57"/>
    <mergeCell ref="D58:E59"/>
    <mergeCell ref="F58:G59"/>
    <mergeCell ref="H58:I59"/>
    <mergeCell ref="J58:K59"/>
    <mergeCell ref="L58:M59"/>
    <mergeCell ref="N58:O59"/>
    <mergeCell ref="D60:E61"/>
    <mergeCell ref="F60:G61"/>
    <mergeCell ref="H60:I61"/>
    <mergeCell ref="J60:K61"/>
    <mergeCell ref="L60:M61"/>
    <mergeCell ref="N60:O61"/>
    <mergeCell ref="D62:E63"/>
    <mergeCell ref="F62:G63"/>
    <mergeCell ref="H62:I63"/>
    <mergeCell ref="J62:K63"/>
    <mergeCell ref="L62:M63"/>
    <mergeCell ref="N62:O63"/>
    <mergeCell ref="D64:E65"/>
    <mergeCell ref="F64:G65"/>
    <mergeCell ref="H64:I65"/>
    <mergeCell ref="J64:K65"/>
    <mergeCell ref="L64:M65"/>
    <mergeCell ref="N64:O65"/>
    <mergeCell ref="D68:E69"/>
    <mergeCell ref="F68:G69"/>
    <mergeCell ref="H68:I69"/>
    <mergeCell ref="J68:K69"/>
    <mergeCell ref="L68:M69"/>
    <mergeCell ref="N68:O69"/>
    <mergeCell ref="D66:E67"/>
    <mergeCell ref="F66:G67"/>
    <mergeCell ref="H66:I67"/>
    <mergeCell ref="J66:K67"/>
    <mergeCell ref="L66:M67"/>
    <mergeCell ref="N66:O67"/>
    <mergeCell ref="B92:C93"/>
    <mergeCell ref="D92:E93"/>
    <mergeCell ref="F92:G93"/>
    <mergeCell ref="H92:I93"/>
    <mergeCell ref="J92:K93"/>
    <mergeCell ref="L92:M93"/>
    <mergeCell ref="N92:O93"/>
    <mergeCell ref="P92:Q93"/>
    <mergeCell ref="R92:S93"/>
    <mergeCell ref="T92:U93"/>
    <mergeCell ref="V92:W93"/>
    <mergeCell ref="X92:Y93"/>
    <mergeCell ref="Z92:AA93"/>
    <mergeCell ref="AB92:AC93"/>
    <mergeCell ref="AD92:AE93"/>
    <mergeCell ref="AF92:AG93"/>
    <mergeCell ref="AH92:AI93"/>
    <mergeCell ref="AJ92:AK93"/>
    <mergeCell ref="B90:C91"/>
    <mergeCell ref="B96:C97"/>
    <mergeCell ref="D28:E29"/>
    <mergeCell ref="F28:G29"/>
    <mergeCell ref="H28:I29"/>
    <mergeCell ref="J28:K29"/>
    <mergeCell ref="L28:M29"/>
    <mergeCell ref="N28:O29"/>
    <mergeCell ref="D30:E31"/>
    <mergeCell ref="F30:G31"/>
    <mergeCell ref="H30:I31"/>
    <mergeCell ref="J30:K31"/>
    <mergeCell ref="L30:M31"/>
    <mergeCell ref="N30:O31"/>
    <mergeCell ref="D32:E33"/>
    <mergeCell ref="F32:G33"/>
    <mergeCell ref="H32:I33"/>
    <mergeCell ref="J32:K33"/>
    <mergeCell ref="L32:M33"/>
    <mergeCell ref="N32:O33"/>
    <mergeCell ref="D34:E35"/>
    <mergeCell ref="F34:G35"/>
    <mergeCell ref="H34:I35"/>
    <mergeCell ref="J34:K35"/>
    <mergeCell ref="L34:M35"/>
    <mergeCell ref="N34:O35"/>
    <mergeCell ref="D36:E37"/>
    <mergeCell ref="F36:G37"/>
    <mergeCell ref="H36:I37"/>
    <mergeCell ref="J36:K37"/>
    <mergeCell ref="L36:M37"/>
    <mergeCell ref="N36:O37"/>
    <mergeCell ref="D40:E41"/>
    <mergeCell ref="F40:G41"/>
    <mergeCell ref="H40:I41"/>
    <mergeCell ref="J40:K41"/>
    <mergeCell ref="L40:M41"/>
    <mergeCell ref="N40:O41"/>
    <mergeCell ref="D38:E39"/>
    <mergeCell ref="F38:G39"/>
    <mergeCell ref="H38:I39"/>
    <mergeCell ref="J38:K39"/>
    <mergeCell ref="L38:M39"/>
    <mergeCell ref="N38:O39"/>
    <mergeCell ref="D44:E45"/>
    <mergeCell ref="F44:G45"/>
    <mergeCell ref="H44:I45"/>
    <mergeCell ref="J44:K45"/>
    <mergeCell ref="L44:M45"/>
    <mergeCell ref="N44:O45"/>
    <mergeCell ref="D46:E47"/>
    <mergeCell ref="F46:G47"/>
    <mergeCell ref="H46:I47"/>
    <mergeCell ref="J46:K47"/>
    <mergeCell ref="L46:M47"/>
    <mergeCell ref="N46:O47"/>
    <mergeCell ref="D48:E49"/>
    <mergeCell ref="F48:G49"/>
    <mergeCell ref="H48:I49"/>
    <mergeCell ref="J48:K49"/>
    <mergeCell ref="L48:M49"/>
    <mergeCell ref="N48:O49"/>
    <mergeCell ref="D50:E51"/>
    <mergeCell ref="F50:G51"/>
    <mergeCell ref="H50:I51"/>
    <mergeCell ref="J50:K51"/>
    <mergeCell ref="L50:M51"/>
    <mergeCell ref="N50:O51"/>
    <mergeCell ref="D54:E55"/>
    <mergeCell ref="F54:G55"/>
    <mergeCell ref="H54:I55"/>
    <mergeCell ref="J54:K55"/>
    <mergeCell ref="L54:M55"/>
    <mergeCell ref="N54:O55"/>
    <mergeCell ref="B98:C99"/>
    <mergeCell ref="B100:C101"/>
    <mergeCell ref="B102:C103"/>
    <mergeCell ref="B104:C105"/>
    <mergeCell ref="B106:C107"/>
    <mergeCell ref="B108:C109"/>
    <mergeCell ref="B110:C111"/>
    <mergeCell ref="D72:E73"/>
    <mergeCell ref="F72:G73"/>
    <mergeCell ref="H72:I73"/>
    <mergeCell ref="J72:K73"/>
    <mergeCell ref="L72:M73"/>
    <mergeCell ref="N72:O73"/>
    <mergeCell ref="D76:E77"/>
    <mergeCell ref="F76:G77"/>
    <mergeCell ref="H76:I77"/>
    <mergeCell ref="J76:K77"/>
    <mergeCell ref="L76:M77"/>
    <mergeCell ref="N76:O77"/>
    <mergeCell ref="B80:C81"/>
    <mergeCell ref="B82:C83"/>
    <mergeCell ref="B84:C85"/>
    <mergeCell ref="B88:C89"/>
    <mergeCell ref="B86:C87"/>
    <mergeCell ref="B112:C113"/>
    <mergeCell ref="B114:C115"/>
    <mergeCell ref="B116:C117"/>
    <mergeCell ref="D70:E71"/>
    <mergeCell ref="F70:G71"/>
    <mergeCell ref="H70:I71"/>
    <mergeCell ref="J70:K71"/>
    <mergeCell ref="L70:M71"/>
    <mergeCell ref="N70:O71"/>
    <mergeCell ref="D74:E75"/>
    <mergeCell ref="F74:G75"/>
    <mergeCell ref="H74:I75"/>
    <mergeCell ref="J74:K75"/>
    <mergeCell ref="L74:M75"/>
    <mergeCell ref="N74:O75"/>
    <mergeCell ref="B118:C119"/>
    <mergeCell ref="B120:C121"/>
    <mergeCell ref="B28:C43"/>
    <mergeCell ref="D42:E43"/>
    <mergeCell ref="F42:G43"/>
    <mergeCell ref="H42:I43"/>
    <mergeCell ref="J42:K43"/>
    <mergeCell ref="L42:M43"/>
    <mergeCell ref="N42:O43"/>
    <mergeCell ref="B44:C59"/>
    <mergeCell ref="B142:C143"/>
    <mergeCell ref="B144:C145"/>
    <mergeCell ref="B146:C147"/>
    <mergeCell ref="B148:C149"/>
    <mergeCell ref="AM80:AO84"/>
    <mergeCell ref="B150:C151"/>
    <mergeCell ref="B152:C153"/>
    <mergeCell ref="B154:C155"/>
    <mergeCell ref="B156:C157"/>
    <mergeCell ref="B158:C159"/>
    <mergeCell ref="B124:C127"/>
    <mergeCell ref="B128:C131"/>
    <mergeCell ref="B132:C135"/>
    <mergeCell ref="B160:C161"/>
    <mergeCell ref="B162:C163"/>
    <mergeCell ref="B136:C139"/>
    <mergeCell ref="B60:C73"/>
    <mergeCell ref="B74:C77"/>
    <mergeCell ref="AH7:AN8"/>
    <mergeCell ref="AH9:AN10"/>
    <mergeCell ref="AH11:AN12"/>
    <mergeCell ref="AH13:AN14"/>
    <mergeCell ref="AH15:AN16"/>
    <mergeCell ref="AH17:AN18"/>
    <mergeCell ref="AH19:AN20"/>
    <mergeCell ref="AH21:AN22"/>
    <mergeCell ref="AH23:AN24"/>
    <mergeCell ref="AH5:AN6"/>
  </mergeCells>
  <dataValidations count="10">
    <dataValidation type="list" allowBlank="1" showInputMessage="1" showErrorMessage="1" sqref="H120:I120">
      <formula1>"白刃格挡,肉搏格挡,无"</formula1>
    </dataValidation>
    <dataValidation type="list" allowBlank="1" showInputMessage="1" showErrorMessage="1" sqref="J120:K120">
      <formula1>"盾牌防御,无"</formula1>
    </dataValidation>
    <dataValidation type="list" allowBlank="1" showInputMessage="1" showErrorMessage="1" sqref="L120:M120">
      <formula1>"闪避防御,无"</formula1>
    </dataValidation>
    <dataValidation type="list" allowBlank="1" showInputMessage="1" showErrorMessage="1" sqref="N120:O120">
      <formula1>"天生防御,无"</formula1>
    </dataValidation>
    <dataValidation type="list" allowBlank="1" showInputMessage="1" showErrorMessage="1" sqref="P120:Q120">
      <formula1>"盔甲防御,无"</formula1>
    </dataValidation>
    <dataValidation type="list" allowBlank="1" showInputMessage="1" showErrorMessage="1" sqref="R120:S120">
      <formula1>"洞察防御,无"</formula1>
    </dataValidation>
    <dataValidation type="list" allowBlank="1" showInputMessage="1" showErrorMessage="1" sqref="T120:U120">
      <formula1>"偏斜防御,无"</formula1>
    </dataValidation>
    <dataValidation type="list" allowBlank="1" showInputMessage="1" showErrorMessage="1" sqref="V120:W120">
      <formula1>"其他防御,无"</formula1>
    </dataValidation>
    <dataValidation type="list" allowBlank="1" showInputMessage="1" showErrorMessage="1" sqref="F136:G136">
      <formula1>"意志豁免,反射豁免,强韧豁免"</formula1>
    </dataValidation>
    <dataValidation type="list" allowBlank="1" showInputMessage="1" showErrorMessage="1" sqref="D92:E93">
      <formula1>"超微型,微型,小型,中型,大型,超大型,巨型,超巨型"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O150"/>
  <sheetViews>
    <sheetView tabSelected="1" workbookViewId="0">
      <selection activeCell="F34" sqref="F34:V36"/>
    </sheetView>
  </sheetViews>
  <sheetFormatPr defaultColWidth="4.775" defaultRowHeight="16" customHeight="1"/>
  <cols>
    <col min="1" max="16384" width="4.775" style="19" customWidth="1"/>
  </cols>
  <sheetData>
    <row r="2" customHeight="1" spans="2:41">
      <c r="B2" s="45" t="s">
        <v>166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59"/>
      <c r="W2" s="159"/>
      <c r="X2" s="63" t="s">
        <v>167</v>
      </c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4"/>
    </row>
    <row r="3" customHeight="1" spans="2:41">
      <c r="B3" s="48" t="s">
        <v>168</v>
      </c>
      <c r="C3" s="62"/>
      <c r="D3" s="49" t="s">
        <v>169</v>
      </c>
      <c r="E3" s="49"/>
      <c r="F3" s="49" t="s">
        <v>170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60"/>
      <c r="X3" s="7" t="s">
        <v>171</v>
      </c>
      <c r="Y3" s="12"/>
      <c r="Z3" s="12"/>
      <c r="AA3" s="12"/>
      <c r="AB3" s="12"/>
      <c r="AC3" s="12"/>
      <c r="AD3" s="12" t="s">
        <v>172</v>
      </c>
      <c r="AE3" s="12"/>
      <c r="AF3" s="12"/>
      <c r="AG3" s="12"/>
      <c r="AH3" s="12"/>
      <c r="AI3" s="12"/>
      <c r="AJ3" s="12" t="s">
        <v>173</v>
      </c>
      <c r="AK3" s="12"/>
      <c r="AL3" s="12"/>
      <c r="AM3" s="12"/>
      <c r="AN3" s="12"/>
      <c r="AO3" s="17"/>
    </row>
    <row r="4" customHeight="1" spans="2:41">
      <c r="B4" s="51" t="s">
        <v>174</v>
      </c>
      <c r="C4" s="158"/>
      <c r="D4" s="12" t="s">
        <v>175</v>
      </c>
      <c r="E4" s="12"/>
      <c r="F4" s="12" t="s">
        <v>176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7"/>
      <c r="X4" s="7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7"/>
    </row>
    <row r="5" customHeight="1" spans="2:41">
      <c r="B5" s="51"/>
      <c r="C5" s="15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7"/>
      <c r="X5" s="7" t="s">
        <v>177</v>
      </c>
      <c r="Y5" s="12"/>
      <c r="Z5" s="12"/>
      <c r="AA5" s="12"/>
      <c r="AB5" s="12"/>
      <c r="AC5" s="12"/>
      <c r="AD5" s="12" t="s">
        <v>178</v>
      </c>
      <c r="AE5" s="12"/>
      <c r="AF5" s="12" t="s">
        <v>179</v>
      </c>
      <c r="AG5" s="12"/>
      <c r="AH5" s="12"/>
      <c r="AI5" s="12"/>
      <c r="AJ5" s="12" t="s">
        <v>41</v>
      </c>
      <c r="AK5" s="12"/>
      <c r="AL5" s="12"/>
      <c r="AM5" s="12"/>
      <c r="AN5" s="12"/>
      <c r="AO5" s="17"/>
    </row>
    <row r="6" customHeight="1" spans="2:41">
      <c r="B6" s="51"/>
      <c r="C6" s="15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7"/>
      <c r="X6" s="7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7"/>
    </row>
    <row r="7" customHeight="1" spans="2:41">
      <c r="B7" s="51"/>
      <c r="C7" s="158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7"/>
      <c r="X7" s="7" t="s">
        <v>41</v>
      </c>
      <c r="Y7" s="12"/>
      <c r="Z7" s="12"/>
      <c r="AA7" s="12"/>
      <c r="AB7" s="12"/>
      <c r="AC7" s="12"/>
      <c r="AD7" s="12" t="s">
        <v>41</v>
      </c>
      <c r="AE7" s="12"/>
      <c r="AF7" s="12"/>
      <c r="AG7" s="12"/>
      <c r="AH7" s="12"/>
      <c r="AI7" s="12"/>
      <c r="AJ7" s="12" t="s">
        <v>41</v>
      </c>
      <c r="AK7" s="12"/>
      <c r="AL7" s="12"/>
      <c r="AM7" s="12"/>
      <c r="AN7" s="12"/>
      <c r="AO7" s="17"/>
    </row>
    <row r="8" customHeight="1" spans="2:41">
      <c r="B8" s="51"/>
      <c r="C8" s="158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7"/>
      <c r="X8" s="7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7"/>
    </row>
    <row r="9" customHeight="1" spans="2:41">
      <c r="B9" s="51"/>
      <c r="C9" s="158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7"/>
      <c r="X9" s="7" t="s">
        <v>180</v>
      </c>
      <c r="Y9" s="12"/>
      <c r="Z9" s="12"/>
      <c r="AA9" s="12"/>
      <c r="AB9" s="12"/>
      <c r="AC9" s="12"/>
      <c r="AD9" s="12" t="s">
        <v>180</v>
      </c>
      <c r="AE9" s="12"/>
      <c r="AF9" s="12"/>
      <c r="AG9" s="12"/>
      <c r="AH9" s="12"/>
      <c r="AI9" s="12"/>
      <c r="AJ9" s="12" t="s">
        <v>180</v>
      </c>
      <c r="AK9" s="12"/>
      <c r="AL9" s="12"/>
      <c r="AM9" s="12"/>
      <c r="AN9" s="12"/>
      <c r="AO9" s="17"/>
    </row>
    <row r="10" customHeight="1" spans="2:41">
      <c r="B10" s="51"/>
      <c r="C10" s="158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7"/>
      <c r="X10" s="7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7"/>
    </row>
    <row r="11" customHeight="1" spans="2:41">
      <c r="B11" s="51"/>
      <c r="C11" s="158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7"/>
      <c r="X11" s="7" t="s">
        <v>181</v>
      </c>
      <c r="Y11" s="12"/>
      <c r="Z11" s="12"/>
      <c r="AA11" s="12"/>
      <c r="AB11" s="12"/>
      <c r="AC11" s="12"/>
      <c r="AD11" s="12" t="s">
        <v>181</v>
      </c>
      <c r="AE11" s="12"/>
      <c r="AF11" s="12"/>
      <c r="AG11" s="12"/>
      <c r="AH11" s="12"/>
      <c r="AI11" s="12"/>
      <c r="AJ11" s="12" t="s">
        <v>181</v>
      </c>
      <c r="AK11" s="12"/>
      <c r="AL11" s="12"/>
      <c r="AM11" s="12"/>
      <c r="AN11" s="12"/>
      <c r="AO11" s="17"/>
    </row>
    <row r="12" customHeight="1" spans="2:41">
      <c r="B12" s="51"/>
      <c r="C12" s="15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7"/>
      <c r="X12" s="9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8"/>
    </row>
    <row r="13" customHeight="1" spans="2:22">
      <c r="B13" s="51"/>
      <c r="C13" s="15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7"/>
    </row>
    <row r="14" customHeight="1" spans="2:41">
      <c r="B14" s="51"/>
      <c r="C14" s="15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7"/>
      <c r="X14" s="63" t="s">
        <v>182</v>
      </c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4"/>
    </row>
    <row r="15" customHeight="1" spans="2:41">
      <c r="B15" s="51"/>
      <c r="C15" s="15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7"/>
      <c r="X15" s="7" t="s">
        <v>183</v>
      </c>
      <c r="Y15" s="12"/>
      <c r="Z15" s="12" t="s">
        <v>184</v>
      </c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7"/>
    </row>
    <row r="16" customHeight="1" spans="2:41">
      <c r="B16" s="51"/>
      <c r="C16" s="158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7"/>
      <c r="X16" s="7" t="s">
        <v>179</v>
      </c>
      <c r="Y16" s="12"/>
      <c r="Z16" s="12" t="s">
        <v>185</v>
      </c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7"/>
    </row>
    <row r="17" customHeight="1" spans="2:41">
      <c r="B17" s="51"/>
      <c r="C17" s="158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7"/>
      <c r="X17" s="7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7"/>
    </row>
    <row r="18" customHeight="1" spans="2:41">
      <c r="B18" s="51"/>
      <c r="C18" s="158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7"/>
      <c r="X18" s="7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7"/>
    </row>
    <row r="19" customHeight="1" spans="2:41">
      <c r="B19" s="51"/>
      <c r="C19" s="158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7"/>
      <c r="X19" s="7" t="s">
        <v>186</v>
      </c>
      <c r="Y19" s="12"/>
      <c r="Z19" s="12" t="s">
        <v>187</v>
      </c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7"/>
    </row>
    <row r="20" customHeight="1" spans="2:41">
      <c r="B20" s="51"/>
      <c r="C20" s="158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7"/>
      <c r="X20" s="7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7"/>
    </row>
    <row r="21" customHeight="1" spans="2:41">
      <c r="B21" s="51"/>
      <c r="C21" s="158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7"/>
      <c r="X21" s="7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7"/>
    </row>
    <row r="22" customHeight="1" spans="2:41">
      <c r="B22" s="51"/>
      <c r="C22" s="158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7"/>
      <c r="X22" s="7" t="s">
        <v>188</v>
      </c>
      <c r="Y22" s="12"/>
      <c r="Z22" s="12" t="s">
        <v>189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7"/>
    </row>
    <row r="23" customHeight="1" spans="2:41">
      <c r="B23" s="51"/>
      <c r="C23" s="158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7"/>
      <c r="X23" s="7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7"/>
    </row>
    <row r="24" customHeight="1" spans="2:41">
      <c r="B24" s="51"/>
      <c r="C24" s="158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7"/>
      <c r="X24" s="7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7"/>
    </row>
    <row r="25" customHeight="1" spans="2:41">
      <c r="B25" s="51"/>
      <c r="C25" s="158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7"/>
      <c r="X25" s="7"/>
      <c r="Y25" s="12"/>
      <c r="Z25" s="12" t="s">
        <v>190</v>
      </c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7"/>
    </row>
    <row r="26" customHeight="1" spans="2:41">
      <c r="B26" s="51"/>
      <c r="C26" s="158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7"/>
      <c r="X26" s="7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7"/>
    </row>
    <row r="27" customHeight="1" spans="2:41">
      <c r="B27" s="51"/>
      <c r="C27" s="158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7"/>
      <c r="X27" s="7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7"/>
    </row>
    <row r="28" customHeight="1" spans="2:41">
      <c r="B28" s="51"/>
      <c r="C28" s="158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7"/>
      <c r="X28" s="7"/>
      <c r="Y28" s="12"/>
      <c r="Z28" s="12" t="s">
        <v>191</v>
      </c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7"/>
    </row>
    <row r="29" customHeight="1" spans="2:41">
      <c r="B29" s="51"/>
      <c r="C29" s="158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7"/>
      <c r="X29" s="7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7"/>
    </row>
    <row r="30" customHeight="1" spans="2:41">
      <c r="B30" s="51"/>
      <c r="C30" s="158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7"/>
      <c r="X30" s="7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7"/>
    </row>
    <row r="31" customHeight="1" spans="2:41">
      <c r="B31" s="51"/>
      <c r="C31" s="158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7"/>
      <c r="X31" s="7"/>
      <c r="Y31" s="12"/>
      <c r="Z31" s="12" t="s">
        <v>192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7"/>
    </row>
    <row r="32" customHeight="1" spans="2:41">
      <c r="B32" s="51"/>
      <c r="C32" s="158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7"/>
      <c r="X32" s="7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7"/>
    </row>
    <row r="33" customHeight="1" spans="2:41">
      <c r="B33" s="51"/>
      <c r="C33" s="158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7"/>
      <c r="X33" s="7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7"/>
    </row>
    <row r="34" customHeight="1" spans="2:41">
      <c r="B34" s="51"/>
      <c r="C34" s="158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7"/>
      <c r="X34" s="7"/>
      <c r="Y34" s="12"/>
      <c r="Z34" s="12" t="s">
        <v>193</v>
      </c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7"/>
    </row>
    <row r="35" customHeight="1" spans="2:41">
      <c r="B35" s="51"/>
      <c r="C35" s="158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7"/>
      <c r="X35" s="7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7"/>
    </row>
    <row r="36" customHeight="1" spans="2:41">
      <c r="B36" s="51"/>
      <c r="C36" s="158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7"/>
      <c r="X36" s="7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7"/>
    </row>
    <row r="37" customHeight="1" spans="2:41">
      <c r="B37" s="51"/>
      <c r="C37" s="158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7"/>
      <c r="X37" s="7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7"/>
    </row>
    <row r="38" customHeight="1" spans="2:41">
      <c r="B38" s="51"/>
      <c r="C38" s="158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7"/>
      <c r="X38" s="7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7"/>
    </row>
    <row r="39" customHeight="1" spans="2:41">
      <c r="B39" s="51"/>
      <c r="C39" s="158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7"/>
      <c r="X39" s="7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7"/>
    </row>
    <row r="40" customHeight="1" spans="2:41">
      <c r="B40" s="51"/>
      <c r="C40" s="158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7"/>
      <c r="X40" s="7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7"/>
    </row>
    <row r="41" customHeight="1" spans="2:41">
      <c r="B41" s="51"/>
      <c r="C41" s="158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7"/>
      <c r="X41" s="7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7"/>
    </row>
    <row r="42" customHeight="1" spans="2:41">
      <c r="B42" s="51"/>
      <c r="C42" s="158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7"/>
      <c r="X42" s="7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7"/>
    </row>
    <row r="43" customHeight="1" spans="2:41">
      <c r="B43" s="51"/>
      <c r="C43" s="158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7"/>
      <c r="X43" s="7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7"/>
    </row>
    <row r="44" customHeight="1" spans="2:41">
      <c r="B44" s="51"/>
      <c r="C44" s="158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7"/>
      <c r="X44" s="7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7"/>
    </row>
    <row r="45" customHeight="1" spans="2:41">
      <c r="B45" s="51"/>
      <c r="C45" s="158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7"/>
      <c r="X45" s="7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7"/>
    </row>
    <row r="46" customHeight="1" spans="2:41">
      <c r="B46" s="51"/>
      <c r="C46" s="158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7"/>
      <c r="X46" s="7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7"/>
    </row>
    <row r="47" customHeight="1" spans="2:41">
      <c r="B47" s="51"/>
      <c r="C47" s="158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7"/>
      <c r="X47" s="7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7"/>
    </row>
    <row r="48" customHeight="1" spans="2:41">
      <c r="B48" s="51"/>
      <c r="C48" s="158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7"/>
      <c r="X48" s="7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7"/>
    </row>
    <row r="49" customHeight="1" spans="2:41">
      <c r="B49" s="51"/>
      <c r="C49" s="158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7"/>
      <c r="X49" s="7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7"/>
    </row>
    <row r="50" customHeight="1" spans="2:41">
      <c r="B50" s="51"/>
      <c r="C50" s="158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7"/>
      <c r="X50" s="7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7"/>
    </row>
    <row r="51" customHeight="1" spans="2:41">
      <c r="B51" s="51"/>
      <c r="C51" s="158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7"/>
      <c r="X51" s="7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7"/>
    </row>
    <row r="52" customHeight="1" spans="2:41">
      <c r="B52" s="51"/>
      <c r="C52" s="158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7"/>
      <c r="X52" s="7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7"/>
    </row>
    <row r="53" customHeight="1" spans="2:41">
      <c r="B53" s="51"/>
      <c r="C53" s="158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7"/>
      <c r="X53" s="7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7"/>
    </row>
    <row r="54" customHeight="1" spans="2:41">
      <c r="B54" s="51"/>
      <c r="C54" s="158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7"/>
      <c r="X54" s="7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7"/>
    </row>
    <row r="55" customHeight="1" spans="2:41">
      <c r="B55" s="51"/>
      <c r="C55" s="158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7"/>
      <c r="X55" s="7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7"/>
    </row>
    <row r="56" customHeight="1" spans="2:41">
      <c r="B56" s="51"/>
      <c r="C56" s="158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7"/>
      <c r="X56" s="7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7"/>
    </row>
    <row r="57" customHeight="1" spans="2:41">
      <c r="B57" s="51"/>
      <c r="C57" s="158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7"/>
      <c r="X57" s="7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7"/>
    </row>
    <row r="58" customHeight="1" spans="2:41">
      <c r="B58" s="51"/>
      <c r="C58" s="158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7"/>
      <c r="X58" s="7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7"/>
    </row>
    <row r="59" customHeight="1" spans="2:41">
      <c r="B59" s="51"/>
      <c r="C59" s="158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7"/>
      <c r="X59" s="7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7"/>
    </row>
    <row r="60" customHeight="1" spans="2:41">
      <c r="B60" s="51"/>
      <c r="C60" s="158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7"/>
      <c r="X60" s="7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7"/>
    </row>
    <row r="61" customHeight="1" spans="2:41">
      <c r="B61" s="51"/>
      <c r="C61" s="158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7"/>
      <c r="X61" s="7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7"/>
    </row>
    <row r="62" customHeight="1" spans="2:41">
      <c r="B62" s="51"/>
      <c r="C62" s="158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7"/>
      <c r="X62" s="7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7"/>
    </row>
    <row r="63" customHeight="1" spans="2:41">
      <c r="B63" s="51"/>
      <c r="C63" s="158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7"/>
      <c r="X63" s="7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7"/>
    </row>
    <row r="64" customHeight="1" spans="2:41">
      <c r="B64" s="51"/>
      <c r="C64" s="158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7"/>
      <c r="X64" s="7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7"/>
    </row>
    <row r="65" customHeight="1" spans="2:41">
      <c r="B65" s="51"/>
      <c r="C65" s="158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7"/>
      <c r="X65" s="7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7"/>
    </row>
    <row r="66" customHeight="1" spans="2:41">
      <c r="B66" s="51"/>
      <c r="C66" s="158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7"/>
      <c r="X66" s="7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7"/>
    </row>
    <row r="67" customHeight="1" spans="2:41">
      <c r="B67" s="51"/>
      <c r="C67" s="158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7"/>
      <c r="X67" s="7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7"/>
    </row>
    <row r="68" customHeight="1" spans="2:41">
      <c r="B68" s="51"/>
      <c r="C68" s="158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7"/>
      <c r="X68" s="7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7"/>
    </row>
    <row r="69" customHeight="1" spans="2:41">
      <c r="B69" s="51"/>
      <c r="C69" s="158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7"/>
      <c r="X69" s="7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7"/>
    </row>
    <row r="70" customHeight="1" spans="2:41">
      <c r="B70" s="51"/>
      <c r="C70" s="158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7"/>
      <c r="X70" s="7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7"/>
    </row>
    <row r="71" customHeight="1" spans="2:41">
      <c r="B71" s="51"/>
      <c r="C71" s="158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7"/>
      <c r="X71" s="7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7"/>
    </row>
    <row r="72" customHeight="1" spans="2:41">
      <c r="B72" s="51"/>
      <c r="C72" s="158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7"/>
      <c r="X72" s="7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7"/>
    </row>
    <row r="73" customHeight="1" spans="2:41">
      <c r="B73" s="51"/>
      <c r="C73" s="158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7"/>
      <c r="X73" s="7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7"/>
    </row>
    <row r="74" customHeight="1" spans="2:41">
      <c r="B74" s="51"/>
      <c r="C74" s="158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7"/>
      <c r="X74" s="7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7"/>
    </row>
    <row r="75" customHeight="1" spans="2:41">
      <c r="B75" s="51"/>
      <c r="C75" s="158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7"/>
      <c r="X75" s="7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7"/>
    </row>
    <row r="76" customHeight="1" spans="2:41">
      <c r="B76" s="51"/>
      <c r="C76" s="158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7"/>
      <c r="X76" s="7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7"/>
    </row>
    <row r="77" customHeight="1" spans="2:41">
      <c r="B77" s="51"/>
      <c r="C77" s="158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7"/>
      <c r="X77" s="7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7"/>
    </row>
    <row r="78" customHeight="1" spans="2:41">
      <c r="B78" s="51"/>
      <c r="C78" s="158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7"/>
      <c r="X78" s="7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7"/>
    </row>
    <row r="79" customHeight="1" spans="2:41">
      <c r="B79" s="51"/>
      <c r="C79" s="158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7"/>
      <c r="X79" s="7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7"/>
    </row>
    <row r="80" customHeight="1" spans="2:41">
      <c r="B80" s="51"/>
      <c r="C80" s="158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7"/>
      <c r="X80" s="7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7"/>
    </row>
    <row r="81" customHeight="1" spans="2:41">
      <c r="B81" s="51"/>
      <c r="C81" s="158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7"/>
      <c r="X81" s="7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7"/>
    </row>
    <row r="82" customHeight="1" spans="2:41">
      <c r="B82" s="51"/>
      <c r="C82" s="158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7"/>
      <c r="X82" s="7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7"/>
    </row>
    <row r="83" customHeight="1" spans="2:41">
      <c r="B83" s="51"/>
      <c r="C83" s="158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7"/>
      <c r="X83" s="7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7"/>
    </row>
    <row r="84" customHeight="1" spans="2:41">
      <c r="B84" s="51"/>
      <c r="C84" s="158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7"/>
      <c r="X84" s="7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7"/>
    </row>
    <row r="85" customHeight="1" spans="2:41">
      <c r="B85" s="51"/>
      <c r="C85" s="158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7"/>
      <c r="X85" s="7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7"/>
    </row>
    <row r="86" customHeight="1" spans="2:41">
      <c r="B86" s="51"/>
      <c r="C86" s="158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7"/>
      <c r="X86" s="7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7"/>
    </row>
    <row r="87" customHeight="1" spans="2:41">
      <c r="B87" s="51"/>
      <c r="C87" s="158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7"/>
      <c r="X87" s="7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7"/>
    </row>
    <row r="88" customHeight="1" spans="2:41">
      <c r="B88" s="51"/>
      <c r="C88" s="158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7"/>
      <c r="X88" s="7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7"/>
    </row>
    <row r="89" customHeight="1" spans="2:41">
      <c r="B89" s="51"/>
      <c r="C89" s="158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7"/>
      <c r="X89" s="7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7"/>
    </row>
    <row r="90" customHeight="1" spans="2:41">
      <c r="B90" s="51"/>
      <c r="C90" s="158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7"/>
      <c r="X90" s="7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7"/>
    </row>
    <row r="91" customHeight="1" spans="2:41">
      <c r="B91" s="51"/>
      <c r="C91" s="158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7"/>
      <c r="X91" s="7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7"/>
    </row>
    <row r="92" customHeight="1" spans="2:41">
      <c r="B92" s="51"/>
      <c r="C92" s="158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7"/>
      <c r="X92" s="7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7"/>
    </row>
    <row r="93" customHeight="1" spans="2:41">
      <c r="B93" s="51"/>
      <c r="C93" s="158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7"/>
      <c r="X93" s="7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7"/>
    </row>
    <row r="94" customHeight="1" spans="2:41">
      <c r="B94" s="51"/>
      <c r="C94" s="158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7"/>
      <c r="X94" s="7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7"/>
    </row>
    <row r="95" customHeight="1" spans="2:41">
      <c r="B95" s="51"/>
      <c r="C95" s="158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7"/>
      <c r="X95" s="7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7"/>
    </row>
    <row r="96" customHeight="1" spans="2:41">
      <c r="B96" s="51"/>
      <c r="C96" s="158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7"/>
      <c r="X96" s="7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7"/>
    </row>
    <row r="97" customHeight="1" spans="2:41">
      <c r="B97" s="51"/>
      <c r="C97" s="158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7"/>
      <c r="X97" s="7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7"/>
    </row>
    <row r="98" customHeight="1" spans="2:41">
      <c r="B98" s="51"/>
      <c r="C98" s="158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7"/>
      <c r="X98" s="7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7"/>
    </row>
    <row r="99" customHeight="1" spans="2:41">
      <c r="B99" s="51"/>
      <c r="C99" s="158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7"/>
      <c r="X99" s="7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7"/>
    </row>
    <row r="100" customHeight="1" spans="2:41">
      <c r="B100" s="51"/>
      <c r="C100" s="158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7"/>
      <c r="X100" s="7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7"/>
    </row>
    <row r="101" customHeight="1" spans="2:41">
      <c r="B101" s="51"/>
      <c r="C101" s="158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7"/>
      <c r="X101" s="7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7"/>
    </row>
    <row r="102" customHeight="1" spans="2:41">
      <c r="B102" s="51"/>
      <c r="C102" s="158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7"/>
      <c r="X102" s="7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7"/>
    </row>
    <row r="103" customHeight="1" spans="2:41">
      <c r="B103" s="51"/>
      <c r="C103" s="158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7"/>
      <c r="X103" s="7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7"/>
    </row>
    <row r="104" customHeight="1" spans="2:41">
      <c r="B104" s="51"/>
      <c r="C104" s="158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7"/>
      <c r="X104" s="7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7"/>
    </row>
    <row r="105" customHeight="1" spans="2:41">
      <c r="B105" s="51"/>
      <c r="C105" s="158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7"/>
      <c r="X105" s="7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7"/>
    </row>
    <row r="106" customHeight="1" spans="2:41">
      <c r="B106" s="51"/>
      <c r="C106" s="158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7"/>
      <c r="X106" s="7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7"/>
    </row>
    <row r="107" customHeight="1" spans="2:41">
      <c r="B107" s="51"/>
      <c r="C107" s="158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7"/>
      <c r="X107" s="7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7"/>
    </row>
    <row r="108" customHeight="1" spans="2:41">
      <c r="B108" s="51"/>
      <c r="C108" s="158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7"/>
      <c r="X108" s="7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7"/>
    </row>
    <row r="109" customHeight="1" spans="2:41">
      <c r="B109" s="51"/>
      <c r="C109" s="158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7"/>
      <c r="X109" s="7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7"/>
    </row>
    <row r="110" customHeight="1" spans="2:41">
      <c r="B110" s="51"/>
      <c r="C110" s="158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7"/>
      <c r="X110" s="7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7"/>
    </row>
    <row r="111" customHeight="1" spans="2:41">
      <c r="B111" s="51"/>
      <c r="C111" s="158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7"/>
      <c r="X111" s="7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7"/>
    </row>
    <row r="112" customHeight="1" spans="2:41">
      <c r="B112" s="51"/>
      <c r="C112" s="158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7"/>
      <c r="X112" s="7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7"/>
    </row>
    <row r="113" customHeight="1" spans="2:41">
      <c r="B113" s="51"/>
      <c r="C113" s="158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7"/>
      <c r="X113" s="7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7"/>
    </row>
    <row r="114" customHeight="1" spans="2:41">
      <c r="B114" s="51"/>
      <c r="C114" s="158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7"/>
      <c r="X114" s="7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7"/>
    </row>
    <row r="115" customHeight="1" spans="2:41">
      <c r="B115" s="51"/>
      <c r="C115" s="158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7"/>
      <c r="X115" s="7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7"/>
    </row>
    <row r="116" customHeight="1" spans="2:41">
      <c r="B116" s="51"/>
      <c r="C116" s="158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7"/>
      <c r="X116" s="7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7"/>
    </row>
    <row r="117" customHeight="1" spans="2:41">
      <c r="B117" s="51"/>
      <c r="C117" s="158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7"/>
      <c r="X117" s="7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7"/>
    </row>
    <row r="118" customHeight="1" spans="2:41">
      <c r="B118" s="51"/>
      <c r="C118" s="158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7"/>
      <c r="X118" s="7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7"/>
    </row>
    <row r="119" customHeight="1" spans="2:41">
      <c r="B119" s="51"/>
      <c r="C119" s="158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7"/>
      <c r="X119" s="7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7"/>
    </row>
    <row r="120" customHeight="1" spans="2:41">
      <c r="B120" s="51"/>
      <c r="C120" s="158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7"/>
      <c r="X120" s="7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7"/>
    </row>
    <row r="121" customHeight="1" spans="2:41">
      <c r="B121" s="51"/>
      <c r="C121" s="158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7"/>
      <c r="X121" s="7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7"/>
    </row>
    <row r="122" customHeight="1" spans="2:41">
      <c r="B122" s="51"/>
      <c r="C122" s="158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7"/>
      <c r="X122" s="7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7"/>
    </row>
    <row r="123" customHeight="1" spans="2:41">
      <c r="B123" s="51"/>
      <c r="C123" s="158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7"/>
      <c r="X123" s="7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7"/>
    </row>
    <row r="124" customHeight="1" spans="2:41">
      <c r="B124" s="51"/>
      <c r="C124" s="158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7"/>
      <c r="X124" s="7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7"/>
    </row>
    <row r="125" customHeight="1" spans="2:41">
      <c r="B125" s="51"/>
      <c r="C125" s="158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7"/>
      <c r="X125" s="7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7"/>
    </row>
    <row r="126" customHeight="1" spans="2:41">
      <c r="B126" s="51"/>
      <c r="C126" s="158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7"/>
      <c r="X126" s="7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7"/>
    </row>
    <row r="127" customHeight="1" spans="2:41">
      <c r="B127" s="51"/>
      <c r="C127" s="158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7"/>
      <c r="X127" s="7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7"/>
    </row>
    <row r="128" customHeight="1" spans="2:41">
      <c r="B128" s="51"/>
      <c r="C128" s="158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7"/>
      <c r="X128" s="7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7"/>
    </row>
    <row r="129" customHeight="1" spans="2:41">
      <c r="B129" s="51"/>
      <c r="C129" s="158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7"/>
      <c r="X129" s="7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7"/>
    </row>
    <row r="130" customHeight="1" spans="2:41">
      <c r="B130" s="51"/>
      <c r="C130" s="158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7"/>
      <c r="X130" s="7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7"/>
    </row>
    <row r="131" customHeight="1" spans="2:41">
      <c r="B131" s="51"/>
      <c r="C131" s="158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7"/>
      <c r="X131" s="7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7"/>
    </row>
    <row r="132" customHeight="1" spans="2:41">
      <c r="B132" s="51"/>
      <c r="C132" s="158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7"/>
      <c r="X132" s="7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7"/>
    </row>
    <row r="133" customHeight="1" spans="2:41">
      <c r="B133" s="51"/>
      <c r="C133" s="158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7"/>
      <c r="X133" s="7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7"/>
    </row>
    <row r="134" customHeight="1" spans="2:41">
      <c r="B134" s="51"/>
      <c r="C134" s="158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7"/>
      <c r="X134" s="7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7"/>
    </row>
    <row r="135" customHeight="1" spans="2:41">
      <c r="B135" s="51"/>
      <c r="C135" s="158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7"/>
      <c r="X135" s="7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7"/>
    </row>
    <row r="136" customHeight="1" spans="2:41">
      <c r="B136" s="51"/>
      <c r="C136" s="158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7"/>
      <c r="X136" s="7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7"/>
    </row>
    <row r="137" customHeight="1" spans="2:41">
      <c r="B137" s="51"/>
      <c r="C137" s="158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7"/>
      <c r="X137" s="7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7"/>
    </row>
    <row r="138" customHeight="1" spans="2:41">
      <c r="B138" s="51"/>
      <c r="C138" s="158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7"/>
      <c r="X138" s="7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7"/>
    </row>
    <row r="139" customHeight="1" spans="2:41">
      <c r="B139" s="51"/>
      <c r="C139" s="158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7"/>
      <c r="X139" s="7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7"/>
    </row>
    <row r="140" customHeight="1" spans="2:41">
      <c r="B140" s="51"/>
      <c r="C140" s="158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7"/>
      <c r="X140" s="7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7"/>
    </row>
    <row r="141" customHeight="1" spans="2:41">
      <c r="B141" s="51"/>
      <c r="C141" s="158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7"/>
      <c r="X141" s="7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7"/>
    </row>
    <row r="142" customHeight="1" spans="2:41">
      <c r="B142" s="51"/>
      <c r="C142" s="158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7"/>
      <c r="X142" s="7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7"/>
    </row>
    <row r="143" customHeight="1" spans="2:41">
      <c r="B143" s="51"/>
      <c r="C143" s="158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7"/>
      <c r="X143" s="7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7"/>
    </row>
    <row r="144" customHeight="1" spans="2:41">
      <c r="B144" s="51"/>
      <c r="C144" s="158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7"/>
      <c r="X144" s="7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7"/>
    </row>
    <row r="145" customHeight="1" spans="2:41">
      <c r="B145" s="51"/>
      <c r="C145" s="158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7"/>
      <c r="X145" s="7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7"/>
    </row>
    <row r="146" customHeight="1" spans="2:41">
      <c r="B146" s="51"/>
      <c r="C146" s="158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7"/>
      <c r="X146" s="7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7"/>
    </row>
    <row r="147" customHeight="1" spans="2:41">
      <c r="B147" s="51"/>
      <c r="C147" s="158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7"/>
      <c r="X147" s="7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7"/>
    </row>
    <row r="148" customHeight="1" spans="2:41">
      <c r="B148" s="51"/>
      <c r="C148" s="158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7"/>
      <c r="X148" s="7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7"/>
    </row>
    <row r="149" customHeight="1" spans="2:41">
      <c r="B149" s="51"/>
      <c r="C149" s="158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7"/>
      <c r="X149" s="7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7"/>
    </row>
    <row r="150" customHeight="1" spans="2:41">
      <c r="B150" s="56"/>
      <c r="C150" s="57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8"/>
      <c r="X150" s="9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8"/>
    </row>
  </sheetData>
  <mergeCells count="275">
    <mergeCell ref="B2:V2"/>
    <mergeCell ref="X2:AO2"/>
    <mergeCell ref="B3:C3"/>
    <mergeCell ref="D3:E3"/>
    <mergeCell ref="F3:V3"/>
    <mergeCell ref="X14:AO14"/>
    <mergeCell ref="X15:Y15"/>
    <mergeCell ref="Z15:AO15"/>
    <mergeCell ref="B4:C6"/>
    <mergeCell ref="D4:E6"/>
    <mergeCell ref="B7:C9"/>
    <mergeCell ref="D7:E9"/>
    <mergeCell ref="B10:C12"/>
    <mergeCell ref="D10:E12"/>
    <mergeCell ref="B13:C15"/>
    <mergeCell ref="D13:E15"/>
    <mergeCell ref="B16:C18"/>
    <mergeCell ref="D16:E18"/>
    <mergeCell ref="X16:Y18"/>
    <mergeCell ref="B19:C21"/>
    <mergeCell ref="D19:E21"/>
    <mergeCell ref="X19:Y21"/>
    <mergeCell ref="B22:C24"/>
    <mergeCell ref="D22:E24"/>
    <mergeCell ref="X22:Y24"/>
    <mergeCell ref="B25:C27"/>
    <mergeCell ref="D25:E27"/>
    <mergeCell ref="X25:Y27"/>
    <mergeCell ref="B28:C30"/>
    <mergeCell ref="D28:E30"/>
    <mergeCell ref="X28:Y30"/>
    <mergeCell ref="B31:C33"/>
    <mergeCell ref="D31:E33"/>
    <mergeCell ref="X31:Y33"/>
    <mergeCell ref="B34:C36"/>
    <mergeCell ref="D34:E36"/>
    <mergeCell ref="X34:Y36"/>
    <mergeCell ref="B37:C39"/>
    <mergeCell ref="D37:E39"/>
    <mergeCell ref="X37:Y39"/>
    <mergeCell ref="B40:C42"/>
    <mergeCell ref="D40:E42"/>
    <mergeCell ref="X40:Y42"/>
    <mergeCell ref="B43:C45"/>
    <mergeCell ref="D43:E45"/>
    <mergeCell ref="X43:Y45"/>
    <mergeCell ref="B46:C48"/>
    <mergeCell ref="D46:E48"/>
    <mergeCell ref="X46:Y48"/>
    <mergeCell ref="B49:C51"/>
    <mergeCell ref="D49:E51"/>
    <mergeCell ref="X49:Y51"/>
    <mergeCell ref="B52:C54"/>
    <mergeCell ref="D52:E54"/>
    <mergeCell ref="X52:Y54"/>
    <mergeCell ref="B55:C57"/>
    <mergeCell ref="D55:E57"/>
    <mergeCell ref="X55:Y57"/>
    <mergeCell ref="B58:C60"/>
    <mergeCell ref="D58:E60"/>
    <mergeCell ref="X58:Y60"/>
    <mergeCell ref="B61:C63"/>
    <mergeCell ref="D61:E63"/>
    <mergeCell ref="X61:Y63"/>
    <mergeCell ref="B64:C66"/>
    <mergeCell ref="D64:E66"/>
    <mergeCell ref="X64:Y66"/>
    <mergeCell ref="B67:C69"/>
    <mergeCell ref="D67:E69"/>
    <mergeCell ref="X67:Y69"/>
    <mergeCell ref="B70:C72"/>
    <mergeCell ref="D70:E72"/>
    <mergeCell ref="X70:Y72"/>
    <mergeCell ref="B73:C75"/>
    <mergeCell ref="D73:E75"/>
    <mergeCell ref="X73:Y75"/>
    <mergeCell ref="B76:C78"/>
    <mergeCell ref="D76:E78"/>
    <mergeCell ref="X76:Y78"/>
    <mergeCell ref="B79:C81"/>
    <mergeCell ref="D79:E81"/>
    <mergeCell ref="X79:Y81"/>
    <mergeCell ref="B82:C84"/>
    <mergeCell ref="D82:E84"/>
    <mergeCell ref="X82:Y84"/>
    <mergeCell ref="B85:C87"/>
    <mergeCell ref="D85:E87"/>
    <mergeCell ref="X85:Y87"/>
    <mergeCell ref="B88:C90"/>
    <mergeCell ref="D88:E90"/>
    <mergeCell ref="X88:Y90"/>
    <mergeCell ref="B91:C93"/>
    <mergeCell ref="D91:E93"/>
    <mergeCell ref="X91:Y93"/>
    <mergeCell ref="B94:C96"/>
    <mergeCell ref="D94:E96"/>
    <mergeCell ref="X94:Y96"/>
    <mergeCell ref="B97:C99"/>
    <mergeCell ref="D97:E99"/>
    <mergeCell ref="X97:Y99"/>
    <mergeCell ref="B100:C102"/>
    <mergeCell ref="D100:E102"/>
    <mergeCell ref="X100:Y102"/>
    <mergeCell ref="B103:C105"/>
    <mergeCell ref="D103:E105"/>
    <mergeCell ref="X103:Y105"/>
    <mergeCell ref="B106:C108"/>
    <mergeCell ref="D106:E108"/>
    <mergeCell ref="X106:Y108"/>
    <mergeCell ref="B109:C111"/>
    <mergeCell ref="D109:E111"/>
    <mergeCell ref="X109:Y111"/>
    <mergeCell ref="B112:C114"/>
    <mergeCell ref="D112:E114"/>
    <mergeCell ref="X112:Y114"/>
    <mergeCell ref="B115:C117"/>
    <mergeCell ref="D115:E117"/>
    <mergeCell ref="X115:Y117"/>
    <mergeCell ref="B118:C120"/>
    <mergeCell ref="D118:E120"/>
    <mergeCell ref="X118:Y120"/>
    <mergeCell ref="B121:C123"/>
    <mergeCell ref="D121:E123"/>
    <mergeCell ref="X121:Y123"/>
    <mergeCell ref="B124:C126"/>
    <mergeCell ref="D124:E126"/>
    <mergeCell ref="X124:Y126"/>
    <mergeCell ref="B127:C129"/>
    <mergeCell ref="D127:E129"/>
    <mergeCell ref="X127:Y129"/>
    <mergeCell ref="B130:C132"/>
    <mergeCell ref="D130:E132"/>
    <mergeCell ref="X130:Y132"/>
    <mergeCell ref="B133:C135"/>
    <mergeCell ref="D133:E135"/>
    <mergeCell ref="X133:Y135"/>
    <mergeCell ref="B136:C138"/>
    <mergeCell ref="D136:E138"/>
    <mergeCell ref="X136:Y138"/>
    <mergeCell ref="B139:C141"/>
    <mergeCell ref="D139:E141"/>
    <mergeCell ref="X139:Y141"/>
    <mergeCell ref="B142:C144"/>
    <mergeCell ref="D142:E144"/>
    <mergeCell ref="X142:Y144"/>
    <mergeCell ref="B145:C147"/>
    <mergeCell ref="D145:E147"/>
    <mergeCell ref="X145:Y147"/>
    <mergeCell ref="B148:C150"/>
    <mergeCell ref="D148:E150"/>
    <mergeCell ref="X148:Y150"/>
    <mergeCell ref="X3:Y4"/>
    <mergeCell ref="AD3:AE4"/>
    <mergeCell ref="AJ3:AK4"/>
    <mergeCell ref="Z3:AC4"/>
    <mergeCell ref="AL3:AO4"/>
    <mergeCell ref="AF3:AI4"/>
    <mergeCell ref="Z5:AC6"/>
    <mergeCell ref="AL5:AO6"/>
    <mergeCell ref="Z7:AC8"/>
    <mergeCell ref="AL7:AO8"/>
    <mergeCell ref="X5:Y6"/>
    <mergeCell ref="AD5:AE6"/>
    <mergeCell ref="AJ5:AK6"/>
    <mergeCell ref="X7:Y8"/>
    <mergeCell ref="AD7:AE8"/>
    <mergeCell ref="AJ7:AK8"/>
    <mergeCell ref="AF5:AI6"/>
    <mergeCell ref="AF7:AI8"/>
    <mergeCell ref="Z9:AC10"/>
    <mergeCell ref="AL9:AO10"/>
    <mergeCell ref="Z11:AC12"/>
    <mergeCell ref="AL11:AO12"/>
    <mergeCell ref="X9:Y10"/>
    <mergeCell ref="AD9:AE10"/>
    <mergeCell ref="AJ9:AK10"/>
    <mergeCell ref="X11:Y12"/>
    <mergeCell ref="AD11:AE12"/>
    <mergeCell ref="AJ11:AK12"/>
    <mergeCell ref="AF9:AI10"/>
    <mergeCell ref="AF11:AI12"/>
    <mergeCell ref="Z16:AO18"/>
    <mergeCell ref="Z19:AO21"/>
    <mergeCell ref="Z22:AO24"/>
    <mergeCell ref="Z25:AO27"/>
    <mergeCell ref="Z28:AO30"/>
    <mergeCell ref="Z31:AO33"/>
    <mergeCell ref="Z34:AO36"/>
    <mergeCell ref="Z37:AO39"/>
    <mergeCell ref="Z40:AO42"/>
    <mergeCell ref="Z43:AO45"/>
    <mergeCell ref="Z46:AO48"/>
    <mergeCell ref="Z49:AO51"/>
    <mergeCell ref="Z52:AO54"/>
    <mergeCell ref="Z55:AO57"/>
    <mergeCell ref="Z58:AO60"/>
    <mergeCell ref="Z61:AO63"/>
    <mergeCell ref="Z64:AO66"/>
    <mergeCell ref="Z67:AO69"/>
    <mergeCell ref="Z70:AO72"/>
    <mergeCell ref="Z73:AO75"/>
    <mergeCell ref="Z76:AO78"/>
    <mergeCell ref="Z79:AO81"/>
    <mergeCell ref="Z82:AO84"/>
    <mergeCell ref="Z85:AO87"/>
    <mergeCell ref="Z88:AO90"/>
    <mergeCell ref="Z91:AO93"/>
    <mergeCell ref="Z94:AO96"/>
    <mergeCell ref="Z97:AO99"/>
    <mergeCell ref="Z100:AO102"/>
    <mergeCell ref="Z103:AO105"/>
    <mergeCell ref="Z106:AO108"/>
    <mergeCell ref="Z109:AO111"/>
    <mergeCell ref="Z112:AO114"/>
    <mergeCell ref="Z115:AO117"/>
    <mergeCell ref="Z118:AO120"/>
    <mergeCell ref="Z121:AO123"/>
    <mergeCell ref="Z124:AO126"/>
    <mergeCell ref="Z127:AO129"/>
    <mergeCell ref="Z130:AO132"/>
    <mergeCell ref="Z133:AO135"/>
    <mergeCell ref="Z136:AO138"/>
    <mergeCell ref="Z139:AO141"/>
    <mergeCell ref="Z142:AO144"/>
    <mergeCell ref="Z145:AO147"/>
    <mergeCell ref="Z148:AO150"/>
    <mergeCell ref="F4:V6"/>
    <mergeCell ref="F7:V9"/>
    <mergeCell ref="F10:V12"/>
    <mergeCell ref="F13:V15"/>
    <mergeCell ref="F16:V18"/>
    <mergeCell ref="F19:V21"/>
    <mergeCell ref="F22:V24"/>
    <mergeCell ref="F25:V27"/>
    <mergeCell ref="F28:V30"/>
    <mergeCell ref="F31:V33"/>
    <mergeCell ref="F34:V36"/>
    <mergeCell ref="F37:V39"/>
    <mergeCell ref="F40:V42"/>
    <mergeCell ref="F43:V45"/>
    <mergeCell ref="F46:V48"/>
    <mergeCell ref="F49:V51"/>
    <mergeCell ref="F52:V54"/>
    <mergeCell ref="F55:V57"/>
    <mergeCell ref="F58:V60"/>
    <mergeCell ref="F61:V63"/>
    <mergeCell ref="F64:V66"/>
    <mergeCell ref="F67:V69"/>
    <mergeCell ref="F70:V72"/>
    <mergeCell ref="F73:V75"/>
    <mergeCell ref="F76:V78"/>
    <mergeCell ref="F79:V81"/>
    <mergeCell ref="F82:V84"/>
    <mergeCell ref="F85:V87"/>
    <mergeCell ref="F88:V90"/>
    <mergeCell ref="F91:V93"/>
    <mergeCell ref="F94:V96"/>
    <mergeCell ref="F97:V99"/>
    <mergeCell ref="F100:V102"/>
    <mergeCell ref="F103:V105"/>
    <mergeCell ref="F106:V108"/>
    <mergeCell ref="F109:V111"/>
    <mergeCell ref="F112:V114"/>
    <mergeCell ref="F115:V117"/>
    <mergeCell ref="F118:V120"/>
    <mergeCell ref="F121:V123"/>
    <mergeCell ref="F124:V126"/>
    <mergeCell ref="F127:V129"/>
    <mergeCell ref="F130:V132"/>
    <mergeCell ref="F133:V135"/>
    <mergeCell ref="F136:V138"/>
    <mergeCell ref="F139:V141"/>
    <mergeCell ref="F142:V144"/>
    <mergeCell ref="F145:V147"/>
    <mergeCell ref="F148:V15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L58"/>
  <sheetViews>
    <sheetView topLeftCell="P25" workbookViewId="0">
      <selection activeCell="E53" sqref="E53:AL58"/>
    </sheetView>
  </sheetViews>
  <sheetFormatPr defaultColWidth="4.775" defaultRowHeight="16" customHeight="1"/>
  <cols>
    <col min="1" max="16384" width="4.775" style="20" customWidth="1"/>
  </cols>
  <sheetData>
    <row r="2" customHeight="1" spans="2:37">
      <c r="B2" s="120" t="s">
        <v>194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50"/>
    </row>
    <row r="3" customHeight="1" spans="2:37">
      <c r="B3" s="33" t="s">
        <v>195</v>
      </c>
      <c r="C3" s="122"/>
      <c r="D3" s="20" t="s">
        <v>196</v>
      </c>
      <c r="AK3" s="37"/>
    </row>
    <row r="4" customHeight="1" spans="2:37">
      <c r="B4" s="123">
        <f>人物卡!D87</f>
        <v>7</v>
      </c>
      <c r="C4" s="124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51"/>
    </row>
    <row r="5" customHeight="1" spans="2:37">
      <c r="B5" s="33" t="s">
        <v>197</v>
      </c>
      <c r="C5" s="122"/>
      <c r="D5" s="20" t="s">
        <v>198</v>
      </c>
      <c r="F5" s="20" t="s">
        <v>199</v>
      </c>
      <c r="H5" s="20" t="s">
        <v>200</v>
      </c>
      <c r="J5" s="20" t="s">
        <v>200</v>
      </c>
      <c r="L5" s="20" t="s">
        <v>200</v>
      </c>
      <c r="N5" s="20" t="s">
        <v>200</v>
      </c>
      <c r="P5" s="20" t="s">
        <v>200</v>
      </c>
      <c r="R5" s="20" t="s">
        <v>200</v>
      </c>
      <c r="T5" s="20" t="s">
        <v>200</v>
      </c>
      <c r="V5" s="20" t="s">
        <v>200</v>
      </c>
      <c r="X5" s="20" t="s">
        <v>200</v>
      </c>
      <c r="Z5" s="20" t="s">
        <v>200</v>
      </c>
      <c r="AB5" s="20" t="s">
        <v>200</v>
      </c>
      <c r="AD5" s="20" t="s">
        <v>200</v>
      </c>
      <c r="AF5" s="20" t="s">
        <v>200</v>
      </c>
      <c r="AH5" s="20" t="s">
        <v>200</v>
      </c>
      <c r="AJ5" s="20" t="s">
        <v>200</v>
      </c>
      <c r="AK5" s="37"/>
    </row>
    <row r="6" customHeight="1" spans="2:37">
      <c r="B6" s="123">
        <f>SUM(D6:AK6)</f>
        <v>3</v>
      </c>
      <c r="C6" s="124"/>
      <c r="D6" s="126">
        <v>3</v>
      </c>
      <c r="E6" s="126"/>
      <c r="F6" s="126">
        <f>人物卡!I22*2</f>
        <v>0</v>
      </c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52"/>
    </row>
    <row r="7" customHeight="1" spans="2:37">
      <c r="B7" s="127" t="s">
        <v>201</v>
      </c>
      <c r="C7" s="128"/>
      <c r="D7" s="34" t="s">
        <v>202</v>
      </c>
      <c r="AK7" s="37"/>
    </row>
    <row r="8" customHeight="1" spans="2:37">
      <c r="B8" s="129"/>
      <c r="C8" s="130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53"/>
    </row>
    <row r="9" customHeight="1" spans="2:37">
      <c r="B9" s="127" t="s">
        <v>203</v>
      </c>
      <c r="C9" s="128"/>
      <c r="D9" s="34" t="s">
        <v>204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6"/>
    </row>
    <row r="10" customHeight="1" spans="2:37">
      <c r="B10" s="127"/>
      <c r="C10" s="128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6"/>
    </row>
    <row r="11" customHeight="1" spans="2:37">
      <c r="B11" s="127"/>
      <c r="C11" s="128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6"/>
    </row>
    <row r="12" customHeight="1" spans="2:37">
      <c r="B12" s="127"/>
      <c r="C12" s="128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6"/>
    </row>
    <row r="13" customHeight="1" spans="2:37">
      <c r="B13" s="127"/>
      <c r="C13" s="128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6"/>
    </row>
    <row r="14" customHeight="1" spans="2:37"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54"/>
    </row>
    <row r="15" customHeight="1" spans="2:3">
      <c r="B15" s="40"/>
      <c r="C15" s="40"/>
    </row>
    <row r="16" customHeight="1" spans="2:37">
      <c r="B16" s="29" t="s">
        <v>205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5"/>
    </row>
    <row r="17" customHeight="1" spans="2:37">
      <c r="B17" s="135" t="s">
        <v>206</v>
      </c>
      <c r="C17" s="136"/>
      <c r="D17" s="137" t="s">
        <v>207</v>
      </c>
      <c r="E17" s="136"/>
      <c r="F17" s="137" t="s">
        <v>196</v>
      </c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55"/>
    </row>
    <row r="18" customHeight="1" spans="2:37">
      <c r="B18" s="123" t="s">
        <v>208</v>
      </c>
      <c r="C18" s="124"/>
      <c r="D18" s="126" t="s">
        <v>209</v>
      </c>
      <c r="E18" s="124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53"/>
    </row>
    <row r="19" customHeight="1" spans="2:37">
      <c r="B19" s="33" t="s">
        <v>210</v>
      </c>
      <c r="C19" s="122"/>
      <c r="D19" s="20" t="s">
        <v>200</v>
      </c>
      <c r="F19" s="20" t="s">
        <v>200</v>
      </c>
      <c r="H19" s="20" t="s">
        <v>200</v>
      </c>
      <c r="J19" s="20" t="s">
        <v>200</v>
      </c>
      <c r="L19" s="20" t="s">
        <v>200</v>
      </c>
      <c r="N19" s="20" t="s">
        <v>200</v>
      </c>
      <c r="P19" s="20" t="s">
        <v>200</v>
      </c>
      <c r="R19" s="20" t="s">
        <v>200</v>
      </c>
      <c r="T19" s="20" t="s">
        <v>200</v>
      </c>
      <c r="V19" s="20" t="s">
        <v>200</v>
      </c>
      <c r="X19" s="20" t="s">
        <v>200</v>
      </c>
      <c r="Z19" s="20" t="s">
        <v>200</v>
      </c>
      <c r="AB19" s="20" t="s">
        <v>200</v>
      </c>
      <c r="AD19" s="20" t="s">
        <v>200</v>
      </c>
      <c r="AF19" s="20" t="s">
        <v>200</v>
      </c>
      <c r="AH19" s="20" t="s">
        <v>200</v>
      </c>
      <c r="AJ19" s="20" t="s">
        <v>200</v>
      </c>
      <c r="AK19" s="37"/>
    </row>
    <row r="20" customHeight="1" spans="2:37">
      <c r="B20" s="138">
        <v>10</v>
      </c>
      <c r="C20" s="139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56"/>
    </row>
    <row r="21" customHeight="1" spans="2:37">
      <c r="B21" s="141" t="s">
        <v>201</v>
      </c>
      <c r="C21" s="142"/>
      <c r="D21" s="137" t="s">
        <v>211</v>
      </c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55"/>
    </row>
    <row r="22" customHeight="1" spans="2:37">
      <c r="B22" s="143"/>
      <c r="C22" s="144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1"/>
      <c r="AD22" s="131"/>
      <c r="AE22" s="131"/>
      <c r="AF22" s="131"/>
      <c r="AG22" s="131"/>
      <c r="AH22" s="131"/>
      <c r="AI22" s="131"/>
      <c r="AJ22" s="131"/>
      <c r="AK22" s="153"/>
    </row>
    <row r="23" customHeight="1" spans="2:37">
      <c r="B23" s="145" t="s">
        <v>203</v>
      </c>
      <c r="C23" s="146"/>
      <c r="D23" s="20" t="s">
        <v>212</v>
      </c>
      <c r="AK23" s="37"/>
    </row>
    <row r="24" customHeight="1" spans="2:37">
      <c r="B24" s="145"/>
      <c r="C24" s="146"/>
      <c r="AK24" s="37"/>
    </row>
    <row r="25" customHeight="1" spans="2:37">
      <c r="B25" s="145"/>
      <c r="C25" s="146"/>
      <c r="AK25" s="37"/>
    </row>
    <row r="26" customHeight="1" spans="2:37">
      <c r="B26" s="145"/>
      <c r="C26" s="146"/>
      <c r="AK26" s="37"/>
    </row>
    <row r="27" customHeight="1" spans="2:37">
      <c r="B27" s="145"/>
      <c r="C27" s="146"/>
      <c r="AK27" s="37"/>
    </row>
    <row r="28" customHeight="1" spans="2:37">
      <c r="B28" s="147"/>
      <c r="C28" s="14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41"/>
    </row>
    <row r="30" customHeight="1" spans="2:37">
      <c r="B30" s="120" t="s">
        <v>213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57"/>
    </row>
    <row r="31" customHeight="1" spans="2:37">
      <c r="B31" s="33" t="s">
        <v>214</v>
      </c>
      <c r="C31" s="122"/>
      <c r="D31" s="20" t="s">
        <v>215</v>
      </c>
      <c r="E31" s="122"/>
      <c r="F31" s="20" t="s">
        <v>216</v>
      </c>
      <c r="H31" s="20" t="s">
        <v>196</v>
      </c>
      <c r="AK31" s="37"/>
    </row>
    <row r="32" customHeight="1" spans="2:37">
      <c r="B32" s="138" t="s">
        <v>217</v>
      </c>
      <c r="C32" s="139"/>
      <c r="D32" s="140" t="s">
        <v>218</v>
      </c>
      <c r="E32" s="139"/>
      <c r="F32" s="140"/>
      <c r="G32" s="140"/>
      <c r="AK32" s="37"/>
    </row>
    <row r="33" customHeight="1" spans="2:37">
      <c r="B33" s="141" t="s">
        <v>201</v>
      </c>
      <c r="C33" s="142"/>
      <c r="D33" s="137" t="s">
        <v>219</v>
      </c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55"/>
    </row>
    <row r="34" customHeight="1" spans="2:37">
      <c r="B34" s="145"/>
      <c r="C34" s="146"/>
      <c r="AK34" s="37"/>
    </row>
    <row r="35" customHeight="1" spans="2:37">
      <c r="B35" s="145"/>
      <c r="C35" s="146"/>
      <c r="AK35" s="37"/>
    </row>
    <row r="36" customHeight="1" spans="2:37">
      <c r="B36" s="143"/>
      <c r="C36" s="144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53"/>
    </row>
    <row r="37" customHeight="1" spans="2:37">
      <c r="B37" s="145" t="s">
        <v>203</v>
      </c>
      <c r="C37" s="146"/>
      <c r="D37" s="20" t="s">
        <v>220</v>
      </c>
      <c r="AK37" s="37"/>
    </row>
    <row r="38" customHeight="1" spans="2:37">
      <c r="B38" s="145"/>
      <c r="C38" s="146"/>
      <c r="AK38" s="37"/>
    </row>
    <row r="39" customHeight="1" spans="2:37">
      <c r="B39" s="145"/>
      <c r="C39" s="146"/>
      <c r="AK39" s="37"/>
    </row>
    <row r="40" customHeight="1" spans="2:37">
      <c r="B40" s="145"/>
      <c r="C40" s="146"/>
      <c r="AK40" s="37"/>
    </row>
    <row r="41" customHeight="1" spans="2:37">
      <c r="B41" s="145"/>
      <c r="C41" s="146"/>
      <c r="AK41" s="37"/>
    </row>
    <row r="42" customHeight="1" spans="2:37">
      <c r="B42" s="147"/>
      <c r="C42" s="14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41"/>
    </row>
    <row r="44" customHeight="1" spans="2:2">
      <c r="B44" s="20" t="s">
        <v>221</v>
      </c>
    </row>
    <row r="46" customHeight="1" spans="3:38">
      <c r="C46" s="29" t="s">
        <v>205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5"/>
    </row>
    <row r="47" customHeight="1" spans="3:38">
      <c r="C47" s="135" t="s">
        <v>206</v>
      </c>
      <c r="D47" s="136"/>
      <c r="E47" s="137" t="s">
        <v>207</v>
      </c>
      <c r="F47" s="136"/>
      <c r="G47" s="137" t="s">
        <v>196</v>
      </c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55"/>
    </row>
    <row r="48" customHeight="1" spans="3:38">
      <c r="C48" s="123" t="s">
        <v>222</v>
      </c>
      <c r="D48" s="124"/>
      <c r="E48" s="126" t="s">
        <v>209</v>
      </c>
      <c r="F48" s="124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53"/>
    </row>
    <row r="49" customHeight="1" spans="3:38">
      <c r="C49" s="33" t="s">
        <v>210</v>
      </c>
      <c r="D49" s="122"/>
      <c r="E49" s="20" t="s">
        <v>200</v>
      </c>
      <c r="G49" s="20" t="s">
        <v>200</v>
      </c>
      <c r="I49" s="20" t="s">
        <v>200</v>
      </c>
      <c r="K49" s="20" t="s">
        <v>200</v>
      </c>
      <c r="M49" s="20" t="s">
        <v>200</v>
      </c>
      <c r="O49" s="20" t="s">
        <v>200</v>
      </c>
      <c r="Q49" s="20" t="s">
        <v>200</v>
      </c>
      <c r="S49" s="20" t="s">
        <v>200</v>
      </c>
      <c r="U49" s="20" t="s">
        <v>200</v>
      </c>
      <c r="W49" s="20" t="s">
        <v>200</v>
      </c>
      <c r="Y49" s="20" t="s">
        <v>200</v>
      </c>
      <c r="AA49" s="20" t="s">
        <v>200</v>
      </c>
      <c r="AC49" s="20" t="s">
        <v>200</v>
      </c>
      <c r="AE49" s="20" t="s">
        <v>200</v>
      </c>
      <c r="AG49" s="20" t="s">
        <v>200</v>
      </c>
      <c r="AI49" s="20" t="s">
        <v>200</v>
      </c>
      <c r="AK49" s="20" t="s">
        <v>200</v>
      </c>
      <c r="AL49" s="37"/>
    </row>
    <row r="50" customHeight="1" spans="3:38">
      <c r="C50" s="138">
        <v>9</v>
      </c>
      <c r="D50" s="139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56"/>
    </row>
    <row r="51" customHeight="1" spans="3:38">
      <c r="C51" s="141" t="s">
        <v>201</v>
      </c>
      <c r="D51" s="142"/>
      <c r="E51" s="137" t="s">
        <v>223</v>
      </c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55"/>
    </row>
    <row r="52" customHeight="1" spans="3:38">
      <c r="C52" s="143"/>
      <c r="D52" s="144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53"/>
    </row>
    <row r="53" customHeight="1" spans="3:38">
      <c r="C53" s="145" t="s">
        <v>203</v>
      </c>
      <c r="D53" s="146"/>
      <c r="E53" s="20" t="s">
        <v>224</v>
      </c>
      <c r="AL53" s="37"/>
    </row>
    <row r="54" customHeight="1" spans="3:38">
      <c r="C54" s="145"/>
      <c r="D54" s="146"/>
      <c r="AL54" s="37"/>
    </row>
    <row r="55" customHeight="1" spans="3:38">
      <c r="C55" s="145"/>
      <c r="D55" s="146"/>
      <c r="AL55" s="37"/>
    </row>
    <row r="56" customHeight="1" spans="3:38">
      <c r="C56" s="145"/>
      <c r="D56" s="146"/>
      <c r="AL56" s="37"/>
    </row>
    <row r="57" customHeight="1" spans="3:38">
      <c r="C57" s="145"/>
      <c r="D57" s="146"/>
      <c r="AL57" s="37"/>
    </row>
    <row r="58" customHeight="1" spans="3:38">
      <c r="C58" s="147"/>
      <c r="D58" s="148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41"/>
    </row>
  </sheetData>
  <mergeCells count="149">
    <mergeCell ref="B2:AK2"/>
    <mergeCell ref="B3:C3"/>
    <mergeCell ref="B4:C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B16:AK16"/>
    <mergeCell ref="B17:C17"/>
    <mergeCell ref="D17:E17"/>
    <mergeCell ref="B18:C18"/>
    <mergeCell ref="D18:E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B30:AK30"/>
    <mergeCell ref="B31:C31"/>
    <mergeCell ref="D31:E31"/>
    <mergeCell ref="F31:G31"/>
    <mergeCell ref="B32:C32"/>
    <mergeCell ref="D32:E32"/>
    <mergeCell ref="F32:G32"/>
    <mergeCell ref="C46:AL46"/>
    <mergeCell ref="C47:D47"/>
    <mergeCell ref="E47:F47"/>
    <mergeCell ref="C48:D48"/>
    <mergeCell ref="E48:F48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B7:C8"/>
    <mergeCell ref="D7:AK8"/>
    <mergeCell ref="B9:C14"/>
    <mergeCell ref="D9:AK14"/>
    <mergeCell ref="D3:AK4"/>
    <mergeCell ref="B21:C22"/>
    <mergeCell ref="D21:AK22"/>
    <mergeCell ref="B23:C28"/>
    <mergeCell ref="D23:AK28"/>
    <mergeCell ref="B33:C36"/>
    <mergeCell ref="D33:AK36"/>
    <mergeCell ref="B37:C42"/>
    <mergeCell ref="D37:AK42"/>
    <mergeCell ref="F17:AK18"/>
    <mergeCell ref="H31:AK32"/>
    <mergeCell ref="B44:AK45"/>
    <mergeCell ref="G47:AL48"/>
    <mergeCell ref="C51:D52"/>
    <mergeCell ref="E51:AL52"/>
    <mergeCell ref="C53:D58"/>
    <mergeCell ref="E53:AL5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Y104"/>
  <sheetViews>
    <sheetView topLeftCell="A91" workbookViewId="0">
      <selection activeCell="T3" sqref="T3:AK3"/>
    </sheetView>
  </sheetViews>
  <sheetFormatPr defaultColWidth="4.775" defaultRowHeight="16" customHeight="1"/>
  <cols>
    <col min="1" max="16384" width="4.775" style="1" customWidth="1"/>
  </cols>
  <sheetData>
    <row r="2" customHeight="1" spans="2:37">
      <c r="B2" s="92" t="s">
        <v>225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 t="s">
        <v>226</v>
      </c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112"/>
    </row>
    <row r="3" customHeight="1" spans="2:37">
      <c r="B3" s="94" t="s">
        <v>227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 t="s">
        <v>228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113"/>
    </row>
    <row r="4" customHeight="1" spans="2:37">
      <c r="B4" s="96" t="s">
        <v>229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 t="s">
        <v>230</v>
      </c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114"/>
    </row>
    <row r="5" customHeight="1" spans="2:37">
      <c r="B5" s="94" t="s">
        <v>231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 t="s">
        <v>230</v>
      </c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113"/>
    </row>
    <row r="6" customHeight="1" spans="2:37">
      <c r="B6" s="96" t="s">
        <v>232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 t="s">
        <v>233</v>
      </c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114"/>
    </row>
    <row r="7" customHeight="1" spans="2:37">
      <c r="B7" s="94" t="s">
        <v>234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 t="s">
        <v>235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113"/>
    </row>
    <row r="8" customHeight="1" spans="2:37">
      <c r="B8" s="98" t="s">
        <v>236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 t="s">
        <v>235</v>
      </c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115"/>
    </row>
    <row r="10" customHeight="1" spans="2:51">
      <c r="B10" s="100" t="s">
        <v>237</v>
      </c>
      <c r="C10" s="101"/>
      <c r="D10" s="101"/>
      <c r="E10" s="101" t="s">
        <v>238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6"/>
    </row>
    <row r="11" customHeight="1" spans="2:51">
      <c r="B11" s="102" t="s">
        <v>239</v>
      </c>
      <c r="C11" s="103"/>
      <c r="D11" s="103" t="s">
        <v>32</v>
      </c>
      <c r="E11" s="103"/>
      <c r="F11" s="103" t="s">
        <v>69</v>
      </c>
      <c r="G11" s="103"/>
      <c r="H11" s="103" t="s">
        <v>240</v>
      </c>
      <c r="I11" s="103"/>
      <c r="J11" s="103" t="s">
        <v>72</v>
      </c>
      <c r="K11" s="103"/>
      <c r="L11" s="103" t="s">
        <v>41</v>
      </c>
      <c r="M11" s="103"/>
      <c r="N11" s="103" t="s">
        <v>41</v>
      </c>
      <c r="O11" s="103"/>
      <c r="P11" s="103" t="s">
        <v>41</v>
      </c>
      <c r="Q11" s="103"/>
      <c r="R11" s="103" t="s">
        <v>41</v>
      </c>
      <c r="S11" s="103"/>
      <c r="T11" s="103" t="s">
        <v>41</v>
      </c>
      <c r="U11" s="103"/>
      <c r="V11" s="103" t="s">
        <v>41</v>
      </c>
      <c r="W11" s="103"/>
      <c r="X11" s="103" t="s">
        <v>41</v>
      </c>
      <c r="Y11" s="103"/>
      <c r="Z11" s="103" t="s">
        <v>41</v>
      </c>
      <c r="AA11" s="103"/>
      <c r="AB11" s="103" t="s">
        <v>41</v>
      </c>
      <c r="AC11" s="103"/>
      <c r="AD11" s="103" t="s">
        <v>41</v>
      </c>
      <c r="AE11" s="103"/>
      <c r="AF11" s="103" t="s">
        <v>41</v>
      </c>
      <c r="AG11" s="103"/>
      <c r="AH11" s="103" t="s">
        <v>41</v>
      </c>
      <c r="AI11" s="103"/>
      <c r="AJ11" s="103" t="s">
        <v>41</v>
      </c>
      <c r="AK11" s="103"/>
      <c r="AL11" s="103" t="s">
        <v>41</v>
      </c>
      <c r="AM11" s="103"/>
      <c r="AN11" s="103" t="s">
        <v>41</v>
      </c>
      <c r="AO11" s="103"/>
      <c r="AP11" s="103" t="s">
        <v>41</v>
      </c>
      <c r="AQ11" s="103"/>
      <c r="AR11" s="103" t="s">
        <v>41</v>
      </c>
      <c r="AS11" s="103"/>
      <c r="AT11" s="103" t="s">
        <v>41</v>
      </c>
      <c r="AU11" s="103"/>
      <c r="AV11" s="103" t="s">
        <v>41</v>
      </c>
      <c r="AW11" s="103"/>
      <c r="AX11" s="103" t="s">
        <v>41</v>
      </c>
      <c r="AY11" s="117"/>
    </row>
    <row r="12" customHeight="1" spans="2:51">
      <c r="B12" s="104">
        <v>12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18"/>
    </row>
    <row r="13" customHeight="1" spans="2:51">
      <c r="B13" s="102" t="s">
        <v>241</v>
      </c>
      <c r="C13" s="103"/>
      <c r="D13" s="103" t="s">
        <v>32</v>
      </c>
      <c r="E13" s="103"/>
      <c r="F13" s="103" t="s">
        <v>69</v>
      </c>
      <c r="G13" s="103"/>
      <c r="H13" s="103" t="s">
        <v>240</v>
      </c>
      <c r="I13" s="103"/>
      <c r="J13" s="103" t="s">
        <v>41</v>
      </c>
      <c r="K13" s="103"/>
      <c r="L13" s="103" t="s">
        <v>41</v>
      </c>
      <c r="M13" s="103"/>
      <c r="N13" s="103" t="s">
        <v>41</v>
      </c>
      <c r="O13" s="103"/>
      <c r="P13" s="103" t="s">
        <v>41</v>
      </c>
      <c r="Q13" s="103"/>
      <c r="R13" s="103" t="s">
        <v>41</v>
      </c>
      <c r="S13" s="103"/>
      <c r="T13" s="103" t="s">
        <v>41</v>
      </c>
      <c r="U13" s="103"/>
      <c r="V13" s="103" t="s">
        <v>41</v>
      </c>
      <c r="W13" s="103"/>
      <c r="X13" s="103" t="s">
        <v>41</v>
      </c>
      <c r="Y13" s="103"/>
      <c r="Z13" s="103" t="s">
        <v>41</v>
      </c>
      <c r="AA13" s="103"/>
      <c r="AB13" s="103" t="s">
        <v>41</v>
      </c>
      <c r="AC13" s="103"/>
      <c r="AD13" s="103" t="s">
        <v>41</v>
      </c>
      <c r="AE13" s="103"/>
      <c r="AF13" s="103" t="s">
        <v>41</v>
      </c>
      <c r="AG13" s="103"/>
      <c r="AH13" s="103" t="s">
        <v>41</v>
      </c>
      <c r="AI13" s="103"/>
      <c r="AJ13" s="103" t="s">
        <v>41</v>
      </c>
      <c r="AK13" s="103"/>
      <c r="AL13" s="103" t="s">
        <v>41</v>
      </c>
      <c r="AM13" s="103"/>
      <c r="AN13" s="103" t="s">
        <v>41</v>
      </c>
      <c r="AO13" s="103"/>
      <c r="AP13" s="103" t="s">
        <v>41</v>
      </c>
      <c r="AQ13" s="103"/>
      <c r="AR13" s="103" t="s">
        <v>41</v>
      </c>
      <c r="AS13" s="103"/>
      <c r="AT13" s="103" t="s">
        <v>41</v>
      </c>
      <c r="AU13" s="103"/>
      <c r="AV13" s="103" t="s">
        <v>41</v>
      </c>
      <c r="AW13" s="103"/>
      <c r="AX13" s="103" t="s">
        <v>41</v>
      </c>
      <c r="AY13" s="117"/>
    </row>
    <row r="14" customHeight="1" spans="2:51">
      <c r="B14" s="104">
        <v>2</v>
      </c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18"/>
    </row>
    <row r="15" customHeight="1" spans="2:51">
      <c r="B15" s="102" t="s">
        <v>71</v>
      </c>
      <c r="C15" s="103"/>
      <c r="D15" s="103" t="s">
        <v>242</v>
      </c>
      <c r="E15" s="103"/>
      <c r="F15" s="103" t="s">
        <v>243</v>
      </c>
      <c r="G15" s="103"/>
      <c r="H15" s="103" t="s">
        <v>41</v>
      </c>
      <c r="I15" s="103"/>
      <c r="J15" s="103" t="s">
        <v>41</v>
      </c>
      <c r="K15" s="103"/>
      <c r="L15" s="103" t="s">
        <v>41</v>
      </c>
      <c r="M15" s="103"/>
      <c r="N15" s="103" t="s">
        <v>41</v>
      </c>
      <c r="O15" s="103"/>
      <c r="P15" s="103" t="s">
        <v>41</v>
      </c>
      <c r="Q15" s="103"/>
      <c r="R15" s="103" t="s">
        <v>41</v>
      </c>
      <c r="S15" s="103"/>
      <c r="T15" s="103" t="s">
        <v>41</v>
      </c>
      <c r="U15" s="103"/>
      <c r="V15" s="103" t="s">
        <v>41</v>
      </c>
      <c r="W15" s="103"/>
      <c r="X15" s="103" t="s">
        <v>41</v>
      </c>
      <c r="Y15" s="103"/>
      <c r="Z15" s="103" t="s">
        <v>41</v>
      </c>
      <c r="AA15" s="103"/>
      <c r="AB15" s="103" t="s">
        <v>41</v>
      </c>
      <c r="AC15" s="103"/>
      <c r="AD15" s="103" t="s">
        <v>41</v>
      </c>
      <c r="AE15" s="103"/>
      <c r="AF15" s="103" t="s">
        <v>41</v>
      </c>
      <c r="AG15" s="103"/>
      <c r="AH15" s="103" t="s">
        <v>41</v>
      </c>
      <c r="AI15" s="103"/>
      <c r="AJ15" s="103" t="s">
        <v>41</v>
      </c>
      <c r="AK15" s="103"/>
      <c r="AL15" s="103" t="s">
        <v>41</v>
      </c>
      <c r="AM15" s="103"/>
      <c r="AN15" s="103" t="s">
        <v>41</v>
      </c>
      <c r="AO15" s="103"/>
      <c r="AP15" s="103" t="s">
        <v>41</v>
      </c>
      <c r="AQ15" s="103"/>
      <c r="AR15" s="103" t="s">
        <v>41</v>
      </c>
      <c r="AS15" s="103"/>
      <c r="AT15" s="103" t="s">
        <v>41</v>
      </c>
      <c r="AU15" s="103"/>
      <c r="AV15" s="103" t="s">
        <v>41</v>
      </c>
      <c r="AW15" s="103"/>
      <c r="AX15" s="103" t="s">
        <v>41</v>
      </c>
      <c r="AY15" s="117"/>
    </row>
    <row r="16" customHeight="1" spans="2:51">
      <c r="B16" s="104">
        <f>SUM(D16:AY16)</f>
        <v>0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18"/>
    </row>
    <row r="17" customHeight="1" spans="2:51">
      <c r="B17" s="106" t="s">
        <v>244</v>
      </c>
      <c r="C17" s="107"/>
      <c r="D17" s="103" t="s">
        <v>245</v>
      </c>
      <c r="E17" s="103"/>
      <c r="F17" s="103" t="s">
        <v>246</v>
      </c>
      <c r="G17" s="103"/>
      <c r="H17" s="103" t="s">
        <v>247</v>
      </c>
      <c r="I17" s="103"/>
      <c r="J17" s="103" t="s">
        <v>248</v>
      </c>
      <c r="K17" s="103"/>
      <c r="L17" s="103" t="s">
        <v>249</v>
      </c>
      <c r="M17" s="103"/>
      <c r="N17" s="103" t="s">
        <v>249</v>
      </c>
      <c r="O17" s="103"/>
      <c r="P17" s="103" t="s">
        <v>249</v>
      </c>
      <c r="Q17" s="103"/>
      <c r="R17" s="103" t="s">
        <v>249</v>
      </c>
      <c r="S17" s="103"/>
      <c r="T17" s="103" t="s">
        <v>249</v>
      </c>
      <c r="U17" s="103"/>
      <c r="V17" s="103" t="s">
        <v>249</v>
      </c>
      <c r="W17" s="103"/>
      <c r="X17" s="103" t="s">
        <v>249</v>
      </c>
      <c r="Y17" s="103"/>
      <c r="Z17" s="103" t="s">
        <v>249</v>
      </c>
      <c r="AA17" s="103"/>
      <c r="AB17" s="103" t="s">
        <v>249</v>
      </c>
      <c r="AC17" s="103"/>
      <c r="AD17" s="103" t="s">
        <v>249</v>
      </c>
      <c r="AE17" s="103"/>
      <c r="AF17" s="103" t="s">
        <v>249</v>
      </c>
      <c r="AG17" s="103"/>
      <c r="AH17" s="103" t="s">
        <v>249</v>
      </c>
      <c r="AI17" s="103"/>
      <c r="AJ17" s="103" t="s">
        <v>249</v>
      </c>
      <c r="AK17" s="103"/>
      <c r="AL17" s="103" t="s">
        <v>249</v>
      </c>
      <c r="AM17" s="103"/>
      <c r="AN17" s="103" t="s">
        <v>249</v>
      </c>
      <c r="AO17" s="103"/>
      <c r="AP17" s="103" t="s">
        <v>249</v>
      </c>
      <c r="AQ17" s="103"/>
      <c r="AR17" s="103" t="s">
        <v>249</v>
      </c>
      <c r="AS17" s="103"/>
      <c r="AT17" s="103" t="s">
        <v>249</v>
      </c>
      <c r="AU17" s="103"/>
      <c r="AV17" s="103" t="s">
        <v>249</v>
      </c>
      <c r="AW17" s="103"/>
      <c r="AX17" s="103" t="s">
        <v>249</v>
      </c>
      <c r="AY17" s="117"/>
    </row>
    <row r="18" customHeight="1" spans="2:51">
      <c r="B18" s="106"/>
      <c r="C18" s="107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18"/>
    </row>
    <row r="19" customHeight="1" spans="2:51">
      <c r="B19" s="102" t="s">
        <v>250</v>
      </c>
      <c r="C19" s="103"/>
      <c r="D19" s="103" t="s">
        <v>194</v>
      </c>
      <c r="E19" s="103"/>
      <c r="F19" s="103" t="s">
        <v>251</v>
      </c>
      <c r="G19" s="103"/>
      <c r="H19" s="103" t="s">
        <v>251</v>
      </c>
      <c r="I19" s="103"/>
      <c r="J19" s="103" t="s">
        <v>251</v>
      </c>
      <c r="K19" s="103"/>
      <c r="L19" s="103" t="s">
        <v>251</v>
      </c>
      <c r="M19" s="103"/>
      <c r="N19" s="103" t="s">
        <v>251</v>
      </c>
      <c r="O19" s="103"/>
      <c r="P19" s="103" t="s">
        <v>251</v>
      </c>
      <c r="Q19" s="103"/>
      <c r="R19" s="103" t="s">
        <v>251</v>
      </c>
      <c r="S19" s="103"/>
      <c r="T19" s="103" t="s">
        <v>251</v>
      </c>
      <c r="U19" s="103"/>
      <c r="V19" s="103" t="s">
        <v>251</v>
      </c>
      <c r="W19" s="103"/>
      <c r="X19" s="103" t="s">
        <v>251</v>
      </c>
      <c r="Y19" s="103"/>
      <c r="Z19" s="103" t="s">
        <v>251</v>
      </c>
      <c r="AA19" s="103"/>
      <c r="AB19" s="103" t="s">
        <v>251</v>
      </c>
      <c r="AC19" s="103"/>
      <c r="AD19" s="103" t="s">
        <v>251</v>
      </c>
      <c r="AE19" s="103"/>
      <c r="AF19" s="103" t="s">
        <v>251</v>
      </c>
      <c r="AG19" s="103"/>
      <c r="AH19" s="103" t="s">
        <v>251</v>
      </c>
      <c r="AI19" s="103"/>
      <c r="AJ19" s="103" t="s">
        <v>251</v>
      </c>
      <c r="AK19" s="103"/>
      <c r="AL19" s="103" t="s">
        <v>251</v>
      </c>
      <c r="AM19" s="103"/>
      <c r="AN19" s="103" t="s">
        <v>251</v>
      </c>
      <c r="AO19" s="103"/>
      <c r="AP19" s="103" t="s">
        <v>251</v>
      </c>
      <c r="AQ19" s="103"/>
      <c r="AR19" s="103" t="s">
        <v>251</v>
      </c>
      <c r="AS19" s="103"/>
      <c r="AT19" s="103" t="s">
        <v>251</v>
      </c>
      <c r="AU19" s="103"/>
      <c r="AV19" s="103" t="s">
        <v>251</v>
      </c>
      <c r="AW19" s="103"/>
      <c r="AX19" s="103" t="s">
        <v>251</v>
      </c>
      <c r="AY19" s="117"/>
    </row>
    <row r="20" customHeight="1" spans="2:51">
      <c r="B20" s="102"/>
      <c r="C20" s="103"/>
      <c r="D20" s="105">
        <v>0</v>
      </c>
      <c r="E20" s="105"/>
      <c r="F20" s="105">
        <v>1</v>
      </c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18"/>
    </row>
    <row r="21" customHeight="1" spans="2:51">
      <c r="B21" s="108" t="s">
        <v>252</v>
      </c>
      <c r="C21" s="109"/>
      <c r="D21" s="5" t="s">
        <v>253</v>
      </c>
      <c r="E21" s="5"/>
      <c r="F21" s="109" t="s">
        <v>254</v>
      </c>
      <c r="G21" s="109"/>
      <c r="H21" s="5">
        <v>20</v>
      </c>
      <c r="I21" s="5"/>
      <c r="J21" s="109" t="s">
        <v>255</v>
      </c>
      <c r="K21" s="109"/>
      <c r="L21" s="5" t="s">
        <v>139</v>
      </c>
      <c r="M21" s="5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9"/>
    </row>
    <row r="22" customHeight="1" spans="2:51">
      <c r="B22" s="7" t="s">
        <v>256</v>
      </c>
      <c r="C22" s="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15"/>
    </row>
    <row r="23" customHeight="1" spans="2:51">
      <c r="B23" s="7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15"/>
    </row>
    <row r="24" customHeight="1" spans="2:51">
      <c r="B24" s="9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6"/>
    </row>
    <row r="26" s="91" customFormat="1" customHeight="1" spans="2:51">
      <c r="B26" s="100" t="s">
        <v>237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6"/>
    </row>
    <row r="27" s="91" customFormat="1" customHeight="1" spans="2:51">
      <c r="B27" s="102" t="s">
        <v>239</v>
      </c>
      <c r="C27" s="103"/>
      <c r="D27" s="103" t="s">
        <v>32</v>
      </c>
      <c r="E27" s="103"/>
      <c r="F27" s="103" t="s">
        <v>69</v>
      </c>
      <c r="G27" s="103"/>
      <c r="H27" s="103" t="s">
        <v>240</v>
      </c>
      <c r="I27" s="103"/>
      <c r="J27" s="103" t="s">
        <v>72</v>
      </c>
      <c r="K27" s="103"/>
      <c r="L27" s="103" t="s">
        <v>41</v>
      </c>
      <c r="M27" s="103"/>
      <c r="N27" s="103" t="s">
        <v>41</v>
      </c>
      <c r="O27" s="103"/>
      <c r="P27" s="103" t="s">
        <v>41</v>
      </c>
      <c r="Q27" s="103"/>
      <c r="R27" s="103" t="s">
        <v>41</v>
      </c>
      <c r="S27" s="103"/>
      <c r="T27" s="103" t="s">
        <v>41</v>
      </c>
      <c r="U27" s="103"/>
      <c r="V27" s="103" t="s">
        <v>41</v>
      </c>
      <c r="W27" s="103"/>
      <c r="X27" s="103" t="s">
        <v>41</v>
      </c>
      <c r="Y27" s="103"/>
      <c r="Z27" s="103" t="s">
        <v>41</v>
      </c>
      <c r="AA27" s="103"/>
      <c r="AB27" s="103" t="s">
        <v>41</v>
      </c>
      <c r="AC27" s="103"/>
      <c r="AD27" s="103" t="s">
        <v>41</v>
      </c>
      <c r="AE27" s="103"/>
      <c r="AF27" s="103" t="s">
        <v>41</v>
      </c>
      <c r="AG27" s="103"/>
      <c r="AH27" s="103" t="s">
        <v>41</v>
      </c>
      <c r="AI27" s="103"/>
      <c r="AJ27" s="103" t="s">
        <v>41</v>
      </c>
      <c r="AK27" s="103"/>
      <c r="AL27" s="103" t="s">
        <v>41</v>
      </c>
      <c r="AM27" s="103"/>
      <c r="AN27" s="103" t="s">
        <v>41</v>
      </c>
      <c r="AO27" s="103"/>
      <c r="AP27" s="103" t="s">
        <v>41</v>
      </c>
      <c r="AQ27" s="103"/>
      <c r="AR27" s="103" t="s">
        <v>41</v>
      </c>
      <c r="AS27" s="103"/>
      <c r="AT27" s="103" t="s">
        <v>41</v>
      </c>
      <c r="AU27" s="103"/>
      <c r="AV27" s="103" t="s">
        <v>41</v>
      </c>
      <c r="AW27" s="103"/>
      <c r="AX27" s="103" t="s">
        <v>41</v>
      </c>
      <c r="AY27" s="117"/>
    </row>
    <row r="28" s="91" customFormat="1" customHeight="1" spans="2:51">
      <c r="B28" s="104">
        <f>SUM(D28:AY28)</f>
        <v>0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18"/>
    </row>
    <row r="29" s="91" customFormat="1" customHeight="1" spans="2:51">
      <c r="B29" s="102" t="s">
        <v>241</v>
      </c>
      <c r="C29" s="103"/>
      <c r="D29" s="103" t="s">
        <v>32</v>
      </c>
      <c r="E29" s="103"/>
      <c r="F29" s="103" t="s">
        <v>69</v>
      </c>
      <c r="G29" s="103"/>
      <c r="H29" s="103" t="s">
        <v>240</v>
      </c>
      <c r="I29" s="103"/>
      <c r="J29" s="103" t="s">
        <v>41</v>
      </c>
      <c r="K29" s="103"/>
      <c r="L29" s="103" t="s">
        <v>41</v>
      </c>
      <c r="M29" s="103"/>
      <c r="N29" s="103" t="s">
        <v>41</v>
      </c>
      <c r="O29" s="103"/>
      <c r="P29" s="103" t="s">
        <v>41</v>
      </c>
      <c r="Q29" s="103"/>
      <c r="R29" s="103" t="s">
        <v>41</v>
      </c>
      <c r="S29" s="103"/>
      <c r="T29" s="103" t="s">
        <v>41</v>
      </c>
      <c r="U29" s="103"/>
      <c r="V29" s="103" t="s">
        <v>41</v>
      </c>
      <c r="W29" s="103"/>
      <c r="X29" s="103" t="s">
        <v>41</v>
      </c>
      <c r="Y29" s="103"/>
      <c r="Z29" s="103" t="s">
        <v>41</v>
      </c>
      <c r="AA29" s="103"/>
      <c r="AB29" s="103" t="s">
        <v>41</v>
      </c>
      <c r="AC29" s="103"/>
      <c r="AD29" s="103" t="s">
        <v>41</v>
      </c>
      <c r="AE29" s="103"/>
      <c r="AF29" s="103" t="s">
        <v>41</v>
      </c>
      <c r="AG29" s="103"/>
      <c r="AH29" s="103" t="s">
        <v>41</v>
      </c>
      <c r="AI29" s="103"/>
      <c r="AJ29" s="103" t="s">
        <v>41</v>
      </c>
      <c r="AK29" s="103"/>
      <c r="AL29" s="103" t="s">
        <v>41</v>
      </c>
      <c r="AM29" s="103"/>
      <c r="AN29" s="103" t="s">
        <v>41</v>
      </c>
      <c r="AO29" s="103"/>
      <c r="AP29" s="103" t="s">
        <v>41</v>
      </c>
      <c r="AQ29" s="103"/>
      <c r="AR29" s="103" t="s">
        <v>41</v>
      </c>
      <c r="AS29" s="103"/>
      <c r="AT29" s="103" t="s">
        <v>41</v>
      </c>
      <c r="AU29" s="103"/>
      <c r="AV29" s="103" t="s">
        <v>41</v>
      </c>
      <c r="AW29" s="103"/>
      <c r="AX29" s="103" t="s">
        <v>41</v>
      </c>
      <c r="AY29" s="117"/>
    </row>
    <row r="30" s="91" customFormat="1" customHeight="1" spans="2:51">
      <c r="B30" s="104">
        <f>SUM(D30:AY30)</f>
        <v>0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18"/>
    </row>
    <row r="31" s="91" customFormat="1" customHeight="1" spans="2:51">
      <c r="B31" s="102" t="s">
        <v>71</v>
      </c>
      <c r="C31" s="103"/>
      <c r="D31" s="103" t="s">
        <v>242</v>
      </c>
      <c r="E31" s="103"/>
      <c r="F31" s="103" t="s">
        <v>243</v>
      </c>
      <c r="G31" s="103"/>
      <c r="H31" s="103" t="s">
        <v>41</v>
      </c>
      <c r="I31" s="103"/>
      <c r="J31" s="103" t="s">
        <v>41</v>
      </c>
      <c r="K31" s="103"/>
      <c r="L31" s="103" t="s">
        <v>41</v>
      </c>
      <c r="M31" s="103"/>
      <c r="N31" s="103" t="s">
        <v>41</v>
      </c>
      <c r="O31" s="103"/>
      <c r="P31" s="103" t="s">
        <v>41</v>
      </c>
      <c r="Q31" s="103"/>
      <c r="R31" s="103" t="s">
        <v>41</v>
      </c>
      <c r="S31" s="103"/>
      <c r="T31" s="103" t="s">
        <v>41</v>
      </c>
      <c r="U31" s="103"/>
      <c r="V31" s="103" t="s">
        <v>41</v>
      </c>
      <c r="W31" s="103"/>
      <c r="X31" s="103" t="s">
        <v>41</v>
      </c>
      <c r="Y31" s="103"/>
      <c r="Z31" s="103" t="s">
        <v>41</v>
      </c>
      <c r="AA31" s="103"/>
      <c r="AB31" s="103" t="s">
        <v>41</v>
      </c>
      <c r="AC31" s="103"/>
      <c r="AD31" s="103" t="s">
        <v>41</v>
      </c>
      <c r="AE31" s="103"/>
      <c r="AF31" s="103" t="s">
        <v>41</v>
      </c>
      <c r="AG31" s="103"/>
      <c r="AH31" s="103" t="s">
        <v>41</v>
      </c>
      <c r="AI31" s="103"/>
      <c r="AJ31" s="103" t="s">
        <v>41</v>
      </c>
      <c r="AK31" s="103"/>
      <c r="AL31" s="103" t="s">
        <v>41</v>
      </c>
      <c r="AM31" s="103"/>
      <c r="AN31" s="103" t="s">
        <v>41</v>
      </c>
      <c r="AO31" s="103"/>
      <c r="AP31" s="103" t="s">
        <v>41</v>
      </c>
      <c r="AQ31" s="103"/>
      <c r="AR31" s="103" t="s">
        <v>41</v>
      </c>
      <c r="AS31" s="103"/>
      <c r="AT31" s="103" t="s">
        <v>41</v>
      </c>
      <c r="AU31" s="103"/>
      <c r="AV31" s="103" t="s">
        <v>41</v>
      </c>
      <c r="AW31" s="103"/>
      <c r="AX31" s="103" t="s">
        <v>41</v>
      </c>
      <c r="AY31" s="117"/>
    </row>
    <row r="32" s="91" customFormat="1" customHeight="1" spans="2:51">
      <c r="B32" s="104">
        <f>SUM(D32:AY32)</f>
        <v>0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18"/>
    </row>
    <row r="33" s="91" customFormat="1" customHeight="1" spans="2:51">
      <c r="B33" s="106" t="s">
        <v>244</v>
      </c>
      <c r="C33" s="107"/>
      <c r="D33" s="103" t="s">
        <v>245</v>
      </c>
      <c r="E33" s="103"/>
      <c r="F33" s="103" t="s">
        <v>246</v>
      </c>
      <c r="G33" s="103"/>
      <c r="H33" s="103" t="s">
        <v>247</v>
      </c>
      <c r="I33" s="103"/>
      <c r="J33" s="103" t="s">
        <v>248</v>
      </c>
      <c r="K33" s="103"/>
      <c r="L33" s="103" t="s">
        <v>249</v>
      </c>
      <c r="M33" s="103"/>
      <c r="N33" s="103" t="s">
        <v>249</v>
      </c>
      <c r="O33" s="103"/>
      <c r="P33" s="103" t="s">
        <v>249</v>
      </c>
      <c r="Q33" s="103"/>
      <c r="R33" s="103" t="s">
        <v>249</v>
      </c>
      <c r="S33" s="103"/>
      <c r="T33" s="103" t="s">
        <v>249</v>
      </c>
      <c r="U33" s="103"/>
      <c r="V33" s="103" t="s">
        <v>249</v>
      </c>
      <c r="W33" s="103"/>
      <c r="X33" s="103" t="s">
        <v>249</v>
      </c>
      <c r="Y33" s="103"/>
      <c r="Z33" s="103" t="s">
        <v>249</v>
      </c>
      <c r="AA33" s="103"/>
      <c r="AB33" s="103" t="s">
        <v>249</v>
      </c>
      <c r="AC33" s="103"/>
      <c r="AD33" s="103" t="s">
        <v>249</v>
      </c>
      <c r="AE33" s="103"/>
      <c r="AF33" s="103" t="s">
        <v>249</v>
      </c>
      <c r="AG33" s="103"/>
      <c r="AH33" s="103" t="s">
        <v>249</v>
      </c>
      <c r="AI33" s="103"/>
      <c r="AJ33" s="103" t="s">
        <v>249</v>
      </c>
      <c r="AK33" s="103"/>
      <c r="AL33" s="103" t="s">
        <v>249</v>
      </c>
      <c r="AM33" s="103"/>
      <c r="AN33" s="103" t="s">
        <v>249</v>
      </c>
      <c r="AO33" s="103"/>
      <c r="AP33" s="103" t="s">
        <v>249</v>
      </c>
      <c r="AQ33" s="103"/>
      <c r="AR33" s="103" t="s">
        <v>249</v>
      </c>
      <c r="AS33" s="103"/>
      <c r="AT33" s="103" t="s">
        <v>249</v>
      </c>
      <c r="AU33" s="103"/>
      <c r="AV33" s="103" t="s">
        <v>249</v>
      </c>
      <c r="AW33" s="103"/>
      <c r="AX33" s="103" t="s">
        <v>249</v>
      </c>
      <c r="AY33" s="117"/>
    </row>
    <row r="34" s="91" customFormat="1" customHeight="1" spans="2:51">
      <c r="B34" s="106"/>
      <c r="C34" s="107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18"/>
    </row>
    <row r="35" s="91" customFormat="1" customHeight="1" spans="2:51">
      <c r="B35" s="102" t="s">
        <v>250</v>
      </c>
      <c r="C35" s="103"/>
      <c r="D35" s="103" t="s">
        <v>194</v>
      </c>
      <c r="E35" s="103"/>
      <c r="F35" s="103" t="s">
        <v>251</v>
      </c>
      <c r="G35" s="103"/>
      <c r="H35" s="103" t="s">
        <v>251</v>
      </c>
      <c r="I35" s="103"/>
      <c r="J35" s="103" t="s">
        <v>251</v>
      </c>
      <c r="K35" s="103"/>
      <c r="L35" s="103" t="s">
        <v>251</v>
      </c>
      <c r="M35" s="103"/>
      <c r="N35" s="103" t="s">
        <v>251</v>
      </c>
      <c r="O35" s="103"/>
      <c r="P35" s="103" t="s">
        <v>251</v>
      </c>
      <c r="Q35" s="103"/>
      <c r="R35" s="103" t="s">
        <v>251</v>
      </c>
      <c r="S35" s="103"/>
      <c r="T35" s="103" t="s">
        <v>251</v>
      </c>
      <c r="U35" s="103"/>
      <c r="V35" s="103" t="s">
        <v>251</v>
      </c>
      <c r="W35" s="103"/>
      <c r="X35" s="103" t="s">
        <v>251</v>
      </c>
      <c r="Y35" s="103"/>
      <c r="Z35" s="103" t="s">
        <v>251</v>
      </c>
      <c r="AA35" s="103"/>
      <c r="AB35" s="103" t="s">
        <v>251</v>
      </c>
      <c r="AC35" s="103"/>
      <c r="AD35" s="103" t="s">
        <v>251</v>
      </c>
      <c r="AE35" s="103"/>
      <c r="AF35" s="103" t="s">
        <v>251</v>
      </c>
      <c r="AG35" s="103"/>
      <c r="AH35" s="103" t="s">
        <v>251</v>
      </c>
      <c r="AI35" s="103"/>
      <c r="AJ35" s="103" t="s">
        <v>251</v>
      </c>
      <c r="AK35" s="103"/>
      <c r="AL35" s="103" t="s">
        <v>251</v>
      </c>
      <c r="AM35" s="103"/>
      <c r="AN35" s="103" t="s">
        <v>251</v>
      </c>
      <c r="AO35" s="103"/>
      <c r="AP35" s="103" t="s">
        <v>251</v>
      </c>
      <c r="AQ35" s="103"/>
      <c r="AR35" s="103" t="s">
        <v>251</v>
      </c>
      <c r="AS35" s="103"/>
      <c r="AT35" s="103" t="s">
        <v>251</v>
      </c>
      <c r="AU35" s="103"/>
      <c r="AV35" s="103" t="s">
        <v>251</v>
      </c>
      <c r="AW35" s="103"/>
      <c r="AX35" s="103" t="s">
        <v>251</v>
      </c>
      <c r="AY35" s="117"/>
    </row>
    <row r="36" s="91" customFormat="1" customHeight="1" spans="2:51">
      <c r="B36" s="102"/>
      <c r="C36" s="103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18"/>
    </row>
    <row r="37" s="91" customFormat="1" customHeight="1" spans="2:51">
      <c r="B37" s="108" t="s">
        <v>252</v>
      </c>
      <c r="C37" s="109"/>
      <c r="D37" s="5"/>
      <c r="E37" s="5"/>
      <c r="F37" s="109" t="s">
        <v>254</v>
      </c>
      <c r="G37" s="109"/>
      <c r="H37" s="5"/>
      <c r="I37" s="5"/>
      <c r="J37" s="109" t="s">
        <v>255</v>
      </c>
      <c r="K37" s="109"/>
      <c r="L37" s="5"/>
      <c r="M37" s="5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9"/>
    </row>
    <row r="38" s="91" customFormat="1" customHeight="1" spans="2:51">
      <c r="B38" s="7" t="s">
        <v>256</v>
      </c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15"/>
    </row>
    <row r="39" customHeight="1" spans="2:51">
      <c r="B39" s="7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15"/>
    </row>
    <row r="40" customHeight="1" spans="2:51">
      <c r="B40" s="9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6"/>
    </row>
    <row r="42" customHeight="1" spans="2:51">
      <c r="B42" s="100" t="s">
        <v>237</v>
      </c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6"/>
    </row>
    <row r="43" customHeight="1" spans="2:51">
      <c r="B43" s="102" t="s">
        <v>239</v>
      </c>
      <c r="C43" s="103"/>
      <c r="D43" s="103" t="s">
        <v>32</v>
      </c>
      <c r="E43" s="103"/>
      <c r="F43" s="103" t="s">
        <v>69</v>
      </c>
      <c r="G43" s="103"/>
      <c r="H43" s="103" t="s">
        <v>240</v>
      </c>
      <c r="I43" s="103"/>
      <c r="J43" s="103" t="s">
        <v>72</v>
      </c>
      <c r="K43" s="103"/>
      <c r="L43" s="103" t="s">
        <v>41</v>
      </c>
      <c r="M43" s="103"/>
      <c r="N43" s="103" t="s">
        <v>41</v>
      </c>
      <c r="O43" s="103"/>
      <c r="P43" s="103" t="s">
        <v>41</v>
      </c>
      <c r="Q43" s="103"/>
      <c r="R43" s="103" t="s">
        <v>41</v>
      </c>
      <c r="S43" s="103"/>
      <c r="T43" s="103" t="s">
        <v>41</v>
      </c>
      <c r="U43" s="103"/>
      <c r="V43" s="103" t="s">
        <v>41</v>
      </c>
      <c r="W43" s="103"/>
      <c r="X43" s="103" t="s">
        <v>41</v>
      </c>
      <c r="Y43" s="103"/>
      <c r="Z43" s="103" t="s">
        <v>41</v>
      </c>
      <c r="AA43" s="103"/>
      <c r="AB43" s="103" t="s">
        <v>41</v>
      </c>
      <c r="AC43" s="103"/>
      <c r="AD43" s="103" t="s">
        <v>41</v>
      </c>
      <c r="AE43" s="103"/>
      <c r="AF43" s="103" t="s">
        <v>41</v>
      </c>
      <c r="AG43" s="103"/>
      <c r="AH43" s="103" t="s">
        <v>41</v>
      </c>
      <c r="AI43" s="103"/>
      <c r="AJ43" s="103" t="s">
        <v>41</v>
      </c>
      <c r="AK43" s="103"/>
      <c r="AL43" s="103" t="s">
        <v>41</v>
      </c>
      <c r="AM43" s="103"/>
      <c r="AN43" s="103" t="s">
        <v>41</v>
      </c>
      <c r="AO43" s="103"/>
      <c r="AP43" s="103" t="s">
        <v>41</v>
      </c>
      <c r="AQ43" s="103"/>
      <c r="AR43" s="103" t="s">
        <v>41</v>
      </c>
      <c r="AS43" s="103"/>
      <c r="AT43" s="103" t="s">
        <v>41</v>
      </c>
      <c r="AU43" s="103"/>
      <c r="AV43" s="103" t="s">
        <v>41</v>
      </c>
      <c r="AW43" s="103"/>
      <c r="AX43" s="103" t="s">
        <v>41</v>
      </c>
      <c r="AY43" s="117"/>
    </row>
    <row r="44" customHeight="1" spans="2:51">
      <c r="B44" s="104">
        <f>SUM(D44:AY44)</f>
        <v>0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18"/>
    </row>
    <row r="45" customHeight="1" spans="2:51">
      <c r="B45" s="102" t="s">
        <v>241</v>
      </c>
      <c r="C45" s="103"/>
      <c r="D45" s="103" t="s">
        <v>32</v>
      </c>
      <c r="E45" s="103"/>
      <c r="F45" s="103" t="s">
        <v>69</v>
      </c>
      <c r="G45" s="103"/>
      <c r="H45" s="103" t="s">
        <v>240</v>
      </c>
      <c r="I45" s="103"/>
      <c r="J45" s="103" t="s">
        <v>41</v>
      </c>
      <c r="K45" s="103"/>
      <c r="L45" s="103" t="s">
        <v>41</v>
      </c>
      <c r="M45" s="103"/>
      <c r="N45" s="103" t="s">
        <v>41</v>
      </c>
      <c r="O45" s="103"/>
      <c r="P45" s="103" t="s">
        <v>41</v>
      </c>
      <c r="Q45" s="103"/>
      <c r="R45" s="103" t="s">
        <v>41</v>
      </c>
      <c r="S45" s="103"/>
      <c r="T45" s="103" t="s">
        <v>41</v>
      </c>
      <c r="U45" s="103"/>
      <c r="V45" s="103" t="s">
        <v>41</v>
      </c>
      <c r="W45" s="103"/>
      <c r="X45" s="103" t="s">
        <v>41</v>
      </c>
      <c r="Y45" s="103"/>
      <c r="Z45" s="103" t="s">
        <v>41</v>
      </c>
      <c r="AA45" s="103"/>
      <c r="AB45" s="103" t="s">
        <v>41</v>
      </c>
      <c r="AC45" s="103"/>
      <c r="AD45" s="103" t="s">
        <v>41</v>
      </c>
      <c r="AE45" s="103"/>
      <c r="AF45" s="103" t="s">
        <v>41</v>
      </c>
      <c r="AG45" s="103"/>
      <c r="AH45" s="103" t="s">
        <v>41</v>
      </c>
      <c r="AI45" s="103"/>
      <c r="AJ45" s="103" t="s">
        <v>41</v>
      </c>
      <c r="AK45" s="103"/>
      <c r="AL45" s="103" t="s">
        <v>41</v>
      </c>
      <c r="AM45" s="103"/>
      <c r="AN45" s="103" t="s">
        <v>41</v>
      </c>
      <c r="AO45" s="103"/>
      <c r="AP45" s="103" t="s">
        <v>41</v>
      </c>
      <c r="AQ45" s="103"/>
      <c r="AR45" s="103" t="s">
        <v>41</v>
      </c>
      <c r="AS45" s="103"/>
      <c r="AT45" s="103" t="s">
        <v>41</v>
      </c>
      <c r="AU45" s="103"/>
      <c r="AV45" s="103" t="s">
        <v>41</v>
      </c>
      <c r="AW45" s="103"/>
      <c r="AX45" s="103" t="s">
        <v>41</v>
      </c>
      <c r="AY45" s="117"/>
    </row>
    <row r="46" customHeight="1" spans="2:51">
      <c r="B46" s="104">
        <f>SUM(D46:AY46)</f>
        <v>0</v>
      </c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18"/>
    </row>
    <row r="47" customHeight="1" spans="2:51">
      <c r="B47" s="102" t="s">
        <v>71</v>
      </c>
      <c r="C47" s="103"/>
      <c r="D47" s="103" t="s">
        <v>242</v>
      </c>
      <c r="E47" s="103"/>
      <c r="F47" s="103" t="s">
        <v>243</v>
      </c>
      <c r="G47" s="103"/>
      <c r="H47" s="103" t="s">
        <v>41</v>
      </c>
      <c r="I47" s="103"/>
      <c r="J47" s="103" t="s">
        <v>41</v>
      </c>
      <c r="K47" s="103"/>
      <c r="L47" s="103" t="s">
        <v>41</v>
      </c>
      <c r="M47" s="103"/>
      <c r="N47" s="103" t="s">
        <v>41</v>
      </c>
      <c r="O47" s="103"/>
      <c r="P47" s="103" t="s">
        <v>41</v>
      </c>
      <c r="Q47" s="103"/>
      <c r="R47" s="103" t="s">
        <v>41</v>
      </c>
      <c r="S47" s="103"/>
      <c r="T47" s="103" t="s">
        <v>41</v>
      </c>
      <c r="U47" s="103"/>
      <c r="V47" s="103" t="s">
        <v>41</v>
      </c>
      <c r="W47" s="103"/>
      <c r="X47" s="103" t="s">
        <v>41</v>
      </c>
      <c r="Y47" s="103"/>
      <c r="Z47" s="103" t="s">
        <v>41</v>
      </c>
      <c r="AA47" s="103"/>
      <c r="AB47" s="103" t="s">
        <v>41</v>
      </c>
      <c r="AC47" s="103"/>
      <c r="AD47" s="103" t="s">
        <v>41</v>
      </c>
      <c r="AE47" s="103"/>
      <c r="AF47" s="103" t="s">
        <v>41</v>
      </c>
      <c r="AG47" s="103"/>
      <c r="AH47" s="103" t="s">
        <v>41</v>
      </c>
      <c r="AI47" s="103"/>
      <c r="AJ47" s="103" t="s">
        <v>41</v>
      </c>
      <c r="AK47" s="103"/>
      <c r="AL47" s="103" t="s">
        <v>41</v>
      </c>
      <c r="AM47" s="103"/>
      <c r="AN47" s="103" t="s">
        <v>41</v>
      </c>
      <c r="AO47" s="103"/>
      <c r="AP47" s="103" t="s">
        <v>41</v>
      </c>
      <c r="AQ47" s="103"/>
      <c r="AR47" s="103" t="s">
        <v>41</v>
      </c>
      <c r="AS47" s="103"/>
      <c r="AT47" s="103" t="s">
        <v>41</v>
      </c>
      <c r="AU47" s="103"/>
      <c r="AV47" s="103" t="s">
        <v>41</v>
      </c>
      <c r="AW47" s="103"/>
      <c r="AX47" s="103" t="s">
        <v>41</v>
      </c>
      <c r="AY47" s="117"/>
    </row>
    <row r="48" customHeight="1" spans="2:51">
      <c r="B48" s="104">
        <f>SUM(D48:AY48)</f>
        <v>0</v>
      </c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18"/>
    </row>
    <row r="49" customHeight="1" spans="2:51">
      <c r="B49" s="106" t="s">
        <v>244</v>
      </c>
      <c r="C49" s="107"/>
      <c r="D49" s="103" t="s">
        <v>245</v>
      </c>
      <c r="E49" s="103"/>
      <c r="F49" s="103" t="s">
        <v>246</v>
      </c>
      <c r="G49" s="103"/>
      <c r="H49" s="103" t="s">
        <v>247</v>
      </c>
      <c r="I49" s="103"/>
      <c r="J49" s="103" t="s">
        <v>248</v>
      </c>
      <c r="K49" s="103"/>
      <c r="L49" s="103" t="s">
        <v>249</v>
      </c>
      <c r="M49" s="103"/>
      <c r="N49" s="103" t="s">
        <v>249</v>
      </c>
      <c r="O49" s="103"/>
      <c r="P49" s="103" t="s">
        <v>249</v>
      </c>
      <c r="Q49" s="103"/>
      <c r="R49" s="103" t="s">
        <v>249</v>
      </c>
      <c r="S49" s="103"/>
      <c r="T49" s="103" t="s">
        <v>249</v>
      </c>
      <c r="U49" s="103"/>
      <c r="V49" s="103" t="s">
        <v>249</v>
      </c>
      <c r="W49" s="103"/>
      <c r="X49" s="103" t="s">
        <v>249</v>
      </c>
      <c r="Y49" s="103"/>
      <c r="Z49" s="103" t="s">
        <v>249</v>
      </c>
      <c r="AA49" s="103"/>
      <c r="AB49" s="103" t="s">
        <v>249</v>
      </c>
      <c r="AC49" s="103"/>
      <c r="AD49" s="103" t="s">
        <v>249</v>
      </c>
      <c r="AE49" s="103"/>
      <c r="AF49" s="103" t="s">
        <v>249</v>
      </c>
      <c r="AG49" s="103"/>
      <c r="AH49" s="103" t="s">
        <v>249</v>
      </c>
      <c r="AI49" s="103"/>
      <c r="AJ49" s="103" t="s">
        <v>249</v>
      </c>
      <c r="AK49" s="103"/>
      <c r="AL49" s="103" t="s">
        <v>249</v>
      </c>
      <c r="AM49" s="103"/>
      <c r="AN49" s="103" t="s">
        <v>249</v>
      </c>
      <c r="AO49" s="103"/>
      <c r="AP49" s="103" t="s">
        <v>249</v>
      </c>
      <c r="AQ49" s="103"/>
      <c r="AR49" s="103" t="s">
        <v>249</v>
      </c>
      <c r="AS49" s="103"/>
      <c r="AT49" s="103" t="s">
        <v>249</v>
      </c>
      <c r="AU49" s="103"/>
      <c r="AV49" s="103" t="s">
        <v>249</v>
      </c>
      <c r="AW49" s="103"/>
      <c r="AX49" s="103" t="s">
        <v>249</v>
      </c>
      <c r="AY49" s="117"/>
    </row>
    <row r="50" customHeight="1" spans="2:51">
      <c r="B50" s="106"/>
      <c r="C50" s="107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18"/>
    </row>
    <row r="51" customHeight="1" spans="2:51">
      <c r="B51" s="102" t="s">
        <v>250</v>
      </c>
      <c r="C51" s="103"/>
      <c r="D51" s="103" t="s">
        <v>194</v>
      </c>
      <c r="E51" s="103"/>
      <c r="F51" s="103" t="s">
        <v>251</v>
      </c>
      <c r="G51" s="103"/>
      <c r="H51" s="103" t="s">
        <v>251</v>
      </c>
      <c r="I51" s="103"/>
      <c r="J51" s="103" t="s">
        <v>251</v>
      </c>
      <c r="K51" s="103"/>
      <c r="L51" s="103" t="s">
        <v>251</v>
      </c>
      <c r="M51" s="103"/>
      <c r="N51" s="103" t="s">
        <v>251</v>
      </c>
      <c r="O51" s="103"/>
      <c r="P51" s="103" t="s">
        <v>251</v>
      </c>
      <c r="Q51" s="103"/>
      <c r="R51" s="103" t="s">
        <v>251</v>
      </c>
      <c r="S51" s="103"/>
      <c r="T51" s="103" t="s">
        <v>251</v>
      </c>
      <c r="U51" s="103"/>
      <c r="V51" s="103" t="s">
        <v>251</v>
      </c>
      <c r="W51" s="103"/>
      <c r="X51" s="103" t="s">
        <v>251</v>
      </c>
      <c r="Y51" s="103"/>
      <c r="Z51" s="103" t="s">
        <v>251</v>
      </c>
      <c r="AA51" s="103"/>
      <c r="AB51" s="103" t="s">
        <v>251</v>
      </c>
      <c r="AC51" s="103"/>
      <c r="AD51" s="103" t="s">
        <v>251</v>
      </c>
      <c r="AE51" s="103"/>
      <c r="AF51" s="103" t="s">
        <v>251</v>
      </c>
      <c r="AG51" s="103"/>
      <c r="AH51" s="103" t="s">
        <v>251</v>
      </c>
      <c r="AI51" s="103"/>
      <c r="AJ51" s="103" t="s">
        <v>251</v>
      </c>
      <c r="AK51" s="103"/>
      <c r="AL51" s="103" t="s">
        <v>251</v>
      </c>
      <c r="AM51" s="103"/>
      <c r="AN51" s="103" t="s">
        <v>251</v>
      </c>
      <c r="AO51" s="103"/>
      <c r="AP51" s="103" t="s">
        <v>251</v>
      </c>
      <c r="AQ51" s="103"/>
      <c r="AR51" s="103" t="s">
        <v>251</v>
      </c>
      <c r="AS51" s="103"/>
      <c r="AT51" s="103" t="s">
        <v>251</v>
      </c>
      <c r="AU51" s="103"/>
      <c r="AV51" s="103" t="s">
        <v>251</v>
      </c>
      <c r="AW51" s="103"/>
      <c r="AX51" s="103" t="s">
        <v>251</v>
      </c>
      <c r="AY51" s="117"/>
    </row>
    <row r="52" customHeight="1" spans="2:51">
      <c r="B52" s="102"/>
      <c r="C52" s="103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18"/>
    </row>
    <row r="53" customHeight="1" spans="2:51">
      <c r="B53" s="108" t="s">
        <v>252</v>
      </c>
      <c r="C53" s="109"/>
      <c r="D53" s="5"/>
      <c r="E53" s="5"/>
      <c r="F53" s="109" t="s">
        <v>254</v>
      </c>
      <c r="G53" s="109"/>
      <c r="H53" s="5"/>
      <c r="I53" s="5"/>
      <c r="J53" s="109" t="s">
        <v>255</v>
      </c>
      <c r="K53" s="109"/>
      <c r="L53" s="5"/>
      <c r="M53" s="5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9"/>
    </row>
    <row r="54" customHeight="1" spans="2:51">
      <c r="B54" s="7" t="s">
        <v>256</v>
      </c>
      <c r="C54" s="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15"/>
    </row>
    <row r="55" customHeight="1" spans="2:51">
      <c r="B55" s="7"/>
      <c r="C55" s="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15"/>
    </row>
    <row r="56" customHeight="1" spans="2:51">
      <c r="B56" s="9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6"/>
    </row>
    <row r="58" customHeight="1" spans="2:51">
      <c r="B58" s="100" t="s">
        <v>237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6"/>
    </row>
    <row r="59" customHeight="1" spans="2:51">
      <c r="B59" s="102" t="s">
        <v>239</v>
      </c>
      <c r="C59" s="103"/>
      <c r="D59" s="103" t="s">
        <v>32</v>
      </c>
      <c r="E59" s="103"/>
      <c r="F59" s="103" t="s">
        <v>69</v>
      </c>
      <c r="G59" s="103"/>
      <c r="H59" s="103" t="s">
        <v>240</v>
      </c>
      <c r="I59" s="103"/>
      <c r="J59" s="103" t="s">
        <v>72</v>
      </c>
      <c r="K59" s="103"/>
      <c r="L59" s="103" t="s">
        <v>41</v>
      </c>
      <c r="M59" s="103"/>
      <c r="N59" s="103" t="s">
        <v>41</v>
      </c>
      <c r="O59" s="103"/>
      <c r="P59" s="103" t="s">
        <v>41</v>
      </c>
      <c r="Q59" s="103"/>
      <c r="R59" s="103" t="s">
        <v>41</v>
      </c>
      <c r="S59" s="103"/>
      <c r="T59" s="103" t="s">
        <v>41</v>
      </c>
      <c r="U59" s="103"/>
      <c r="V59" s="103" t="s">
        <v>41</v>
      </c>
      <c r="W59" s="103"/>
      <c r="X59" s="103" t="s">
        <v>41</v>
      </c>
      <c r="Y59" s="103"/>
      <c r="Z59" s="103" t="s">
        <v>41</v>
      </c>
      <c r="AA59" s="103"/>
      <c r="AB59" s="103" t="s">
        <v>41</v>
      </c>
      <c r="AC59" s="103"/>
      <c r="AD59" s="103" t="s">
        <v>41</v>
      </c>
      <c r="AE59" s="103"/>
      <c r="AF59" s="103" t="s">
        <v>41</v>
      </c>
      <c r="AG59" s="103"/>
      <c r="AH59" s="103" t="s">
        <v>41</v>
      </c>
      <c r="AI59" s="103"/>
      <c r="AJ59" s="103" t="s">
        <v>41</v>
      </c>
      <c r="AK59" s="103"/>
      <c r="AL59" s="103" t="s">
        <v>41</v>
      </c>
      <c r="AM59" s="103"/>
      <c r="AN59" s="103" t="s">
        <v>41</v>
      </c>
      <c r="AO59" s="103"/>
      <c r="AP59" s="103" t="s">
        <v>41</v>
      </c>
      <c r="AQ59" s="103"/>
      <c r="AR59" s="103" t="s">
        <v>41</v>
      </c>
      <c r="AS59" s="103"/>
      <c r="AT59" s="103" t="s">
        <v>41</v>
      </c>
      <c r="AU59" s="103"/>
      <c r="AV59" s="103" t="s">
        <v>41</v>
      </c>
      <c r="AW59" s="103"/>
      <c r="AX59" s="103" t="s">
        <v>41</v>
      </c>
      <c r="AY59" s="117"/>
    </row>
    <row r="60" customHeight="1" spans="2:51">
      <c r="B60" s="104">
        <f>SUM(D60:AY60)</f>
        <v>0</v>
      </c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18"/>
    </row>
    <row r="61" customHeight="1" spans="2:51">
      <c r="B61" s="102" t="s">
        <v>241</v>
      </c>
      <c r="C61" s="103"/>
      <c r="D61" s="103" t="s">
        <v>32</v>
      </c>
      <c r="E61" s="103"/>
      <c r="F61" s="103" t="s">
        <v>69</v>
      </c>
      <c r="G61" s="103"/>
      <c r="H61" s="103" t="s">
        <v>240</v>
      </c>
      <c r="I61" s="103"/>
      <c r="J61" s="103" t="s">
        <v>41</v>
      </c>
      <c r="K61" s="103"/>
      <c r="L61" s="103" t="s">
        <v>41</v>
      </c>
      <c r="M61" s="103"/>
      <c r="N61" s="103" t="s">
        <v>41</v>
      </c>
      <c r="O61" s="103"/>
      <c r="P61" s="103" t="s">
        <v>41</v>
      </c>
      <c r="Q61" s="103"/>
      <c r="R61" s="103" t="s">
        <v>41</v>
      </c>
      <c r="S61" s="103"/>
      <c r="T61" s="103" t="s">
        <v>41</v>
      </c>
      <c r="U61" s="103"/>
      <c r="V61" s="103" t="s">
        <v>41</v>
      </c>
      <c r="W61" s="103"/>
      <c r="X61" s="103" t="s">
        <v>41</v>
      </c>
      <c r="Y61" s="103"/>
      <c r="Z61" s="103" t="s">
        <v>41</v>
      </c>
      <c r="AA61" s="103"/>
      <c r="AB61" s="103" t="s">
        <v>41</v>
      </c>
      <c r="AC61" s="103"/>
      <c r="AD61" s="103" t="s">
        <v>41</v>
      </c>
      <c r="AE61" s="103"/>
      <c r="AF61" s="103" t="s">
        <v>41</v>
      </c>
      <c r="AG61" s="103"/>
      <c r="AH61" s="103" t="s">
        <v>41</v>
      </c>
      <c r="AI61" s="103"/>
      <c r="AJ61" s="103" t="s">
        <v>41</v>
      </c>
      <c r="AK61" s="103"/>
      <c r="AL61" s="103" t="s">
        <v>41</v>
      </c>
      <c r="AM61" s="103"/>
      <c r="AN61" s="103" t="s">
        <v>41</v>
      </c>
      <c r="AO61" s="103"/>
      <c r="AP61" s="103" t="s">
        <v>41</v>
      </c>
      <c r="AQ61" s="103"/>
      <c r="AR61" s="103" t="s">
        <v>41</v>
      </c>
      <c r="AS61" s="103"/>
      <c r="AT61" s="103" t="s">
        <v>41</v>
      </c>
      <c r="AU61" s="103"/>
      <c r="AV61" s="103" t="s">
        <v>41</v>
      </c>
      <c r="AW61" s="103"/>
      <c r="AX61" s="103" t="s">
        <v>41</v>
      </c>
      <c r="AY61" s="117"/>
    </row>
    <row r="62" customHeight="1" spans="2:51">
      <c r="B62" s="104">
        <f>SUM(D62:AY62)</f>
        <v>0</v>
      </c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18"/>
    </row>
    <row r="63" customHeight="1" spans="2:51">
      <c r="B63" s="102" t="s">
        <v>71</v>
      </c>
      <c r="C63" s="103"/>
      <c r="D63" s="103" t="s">
        <v>242</v>
      </c>
      <c r="E63" s="103"/>
      <c r="F63" s="103" t="s">
        <v>243</v>
      </c>
      <c r="G63" s="103"/>
      <c r="H63" s="103" t="s">
        <v>41</v>
      </c>
      <c r="I63" s="103"/>
      <c r="J63" s="103" t="s">
        <v>41</v>
      </c>
      <c r="K63" s="103"/>
      <c r="L63" s="103" t="s">
        <v>41</v>
      </c>
      <c r="M63" s="103"/>
      <c r="N63" s="103" t="s">
        <v>41</v>
      </c>
      <c r="O63" s="103"/>
      <c r="P63" s="103" t="s">
        <v>41</v>
      </c>
      <c r="Q63" s="103"/>
      <c r="R63" s="103" t="s">
        <v>41</v>
      </c>
      <c r="S63" s="103"/>
      <c r="T63" s="103" t="s">
        <v>41</v>
      </c>
      <c r="U63" s="103"/>
      <c r="V63" s="103" t="s">
        <v>41</v>
      </c>
      <c r="W63" s="103"/>
      <c r="X63" s="103" t="s">
        <v>41</v>
      </c>
      <c r="Y63" s="103"/>
      <c r="Z63" s="103" t="s">
        <v>41</v>
      </c>
      <c r="AA63" s="103"/>
      <c r="AB63" s="103" t="s">
        <v>41</v>
      </c>
      <c r="AC63" s="103"/>
      <c r="AD63" s="103" t="s">
        <v>41</v>
      </c>
      <c r="AE63" s="103"/>
      <c r="AF63" s="103" t="s">
        <v>41</v>
      </c>
      <c r="AG63" s="103"/>
      <c r="AH63" s="103" t="s">
        <v>41</v>
      </c>
      <c r="AI63" s="103"/>
      <c r="AJ63" s="103" t="s">
        <v>41</v>
      </c>
      <c r="AK63" s="103"/>
      <c r="AL63" s="103" t="s">
        <v>41</v>
      </c>
      <c r="AM63" s="103"/>
      <c r="AN63" s="103" t="s">
        <v>41</v>
      </c>
      <c r="AO63" s="103"/>
      <c r="AP63" s="103" t="s">
        <v>41</v>
      </c>
      <c r="AQ63" s="103"/>
      <c r="AR63" s="103" t="s">
        <v>41</v>
      </c>
      <c r="AS63" s="103"/>
      <c r="AT63" s="103" t="s">
        <v>41</v>
      </c>
      <c r="AU63" s="103"/>
      <c r="AV63" s="103" t="s">
        <v>41</v>
      </c>
      <c r="AW63" s="103"/>
      <c r="AX63" s="103" t="s">
        <v>41</v>
      </c>
      <c r="AY63" s="117"/>
    </row>
    <row r="64" customHeight="1" spans="2:51">
      <c r="B64" s="104">
        <f>SUM(D64:AY64)</f>
        <v>0</v>
      </c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18"/>
    </row>
    <row r="65" customHeight="1" spans="2:51">
      <c r="B65" s="106" t="s">
        <v>244</v>
      </c>
      <c r="C65" s="107"/>
      <c r="D65" s="103" t="s">
        <v>245</v>
      </c>
      <c r="E65" s="103"/>
      <c r="F65" s="103" t="s">
        <v>246</v>
      </c>
      <c r="G65" s="103"/>
      <c r="H65" s="103" t="s">
        <v>247</v>
      </c>
      <c r="I65" s="103"/>
      <c r="J65" s="103" t="s">
        <v>248</v>
      </c>
      <c r="K65" s="103"/>
      <c r="L65" s="103" t="s">
        <v>249</v>
      </c>
      <c r="M65" s="103"/>
      <c r="N65" s="103" t="s">
        <v>249</v>
      </c>
      <c r="O65" s="103"/>
      <c r="P65" s="103" t="s">
        <v>249</v>
      </c>
      <c r="Q65" s="103"/>
      <c r="R65" s="103" t="s">
        <v>249</v>
      </c>
      <c r="S65" s="103"/>
      <c r="T65" s="103" t="s">
        <v>249</v>
      </c>
      <c r="U65" s="103"/>
      <c r="V65" s="103" t="s">
        <v>249</v>
      </c>
      <c r="W65" s="103"/>
      <c r="X65" s="103" t="s">
        <v>249</v>
      </c>
      <c r="Y65" s="103"/>
      <c r="Z65" s="103" t="s">
        <v>249</v>
      </c>
      <c r="AA65" s="103"/>
      <c r="AB65" s="103" t="s">
        <v>249</v>
      </c>
      <c r="AC65" s="103"/>
      <c r="AD65" s="103" t="s">
        <v>249</v>
      </c>
      <c r="AE65" s="103"/>
      <c r="AF65" s="103" t="s">
        <v>249</v>
      </c>
      <c r="AG65" s="103"/>
      <c r="AH65" s="103" t="s">
        <v>249</v>
      </c>
      <c r="AI65" s="103"/>
      <c r="AJ65" s="103" t="s">
        <v>249</v>
      </c>
      <c r="AK65" s="103"/>
      <c r="AL65" s="103" t="s">
        <v>249</v>
      </c>
      <c r="AM65" s="103"/>
      <c r="AN65" s="103" t="s">
        <v>249</v>
      </c>
      <c r="AO65" s="103"/>
      <c r="AP65" s="103" t="s">
        <v>249</v>
      </c>
      <c r="AQ65" s="103"/>
      <c r="AR65" s="103" t="s">
        <v>249</v>
      </c>
      <c r="AS65" s="103"/>
      <c r="AT65" s="103" t="s">
        <v>249</v>
      </c>
      <c r="AU65" s="103"/>
      <c r="AV65" s="103" t="s">
        <v>249</v>
      </c>
      <c r="AW65" s="103"/>
      <c r="AX65" s="103" t="s">
        <v>249</v>
      </c>
      <c r="AY65" s="117"/>
    </row>
    <row r="66" customHeight="1" spans="2:51">
      <c r="B66" s="106"/>
      <c r="C66" s="107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18"/>
    </row>
    <row r="67" customHeight="1" spans="2:51">
      <c r="B67" s="102" t="s">
        <v>250</v>
      </c>
      <c r="C67" s="103"/>
      <c r="D67" s="103" t="s">
        <v>194</v>
      </c>
      <c r="E67" s="103"/>
      <c r="F67" s="103" t="s">
        <v>251</v>
      </c>
      <c r="G67" s="103"/>
      <c r="H67" s="103" t="s">
        <v>251</v>
      </c>
      <c r="I67" s="103"/>
      <c r="J67" s="103" t="s">
        <v>251</v>
      </c>
      <c r="K67" s="103"/>
      <c r="L67" s="103" t="s">
        <v>251</v>
      </c>
      <c r="M67" s="103"/>
      <c r="N67" s="103" t="s">
        <v>251</v>
      </c>
      <c r="O67" s="103"/>
      <c r="P67" s="103" t="s">
        <v>251</v>
      </c>
      <c r="Q67" s="103"/>
      <c r="R67" s="103" t="s">
        <v>251</v>
      </c>
      <c r="S67" s="103"/>
      <c r="T67" s="103" t="s">
        <v>251</v>
      </c>
      <c r="U67" s="103"/>
      <c r="V67" s="103" t="s">
        <v>251</v>
      </c>
      <c r="W67" s="103"/>
      <c r="X67" s="103" t="s">
        <v>251</v>
      </c>
      <c r="Y67" s="103"/>
      <c r="Z67" s="103" t="s">
        <v>251</v>
      </c>
      <c r="AA67" s="103"/>
      <c r="AB67" s="103" t="s">
        <v>251</v>
      </c>
      <c r="AC67" s="103"/>
      <c r="AD67" s="103" t="s">
        <v>251</v>
      </c>
      <c r="AE67" s="103"/>
      <c r="AF67" s="103" t="s">
        <v>251</v>
      </c>
      <c r="AG67" s="103"/>
      <c r="AH67" s="103" t="s">
        <v>251</v>
      </c>
      <c r="AI67" s="103"/>
      <c r="AJ67" s="103" t="s">
        <v>251</v>
      </c>
      <c r="AK67" s="103"/>
      <c r="AL67" s="103" t="s">
        <v>251</v>
      </c>
      <c r="AM67" s="103"/>
      <c r="AN67" s="103" t="s">
        <v>251</v>
      </c>
      <c r="AO67" s="103"/>
      <c r="AP67" s="103" t="s">
        <v>251</v>
      </c>
      <c r="AQ67" s="103"/>
      <c r="AR67" s="103" t="s">
        <v>251</v>
      </c>
      <c r="AS67" s="103"/>
      <c r="AT67" s="103" t="s">
        <v>251</v>
      </c>
      <c r="AU67" s="103"/>
      <c r="AV67" s="103" t="s">
        <v>251</v>
      </c>
      <c r="AW67" s="103"/>
      <c r="AX67" s="103" t="s">
        <v>251</v>
      </c>
      <c r="AY67" s="117"/>
    </row>
    <row r="68" customHeight="1" spans="2:51">
      <c r="B68" s="102"/>
      <c r="C68" s="103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18"/>
    </row>
    <row r="69" customHeight="1" spans="2:51">
      <c r="B69" s="108" t="s">
        <v>252</v>
      </c>
      <c r="C69" s="109"/>
      <c r="D69" s="5"/>
      <c r="E69" s="5"/>
      <c r="F69" s="109" t="s">
        <v>254</v>
      </c>
      <c r="G69" s="109"/>
      <c r="H69" s="5"/>
      <c r="I69" s="5"/>
      <c r="J69" s="109" t="s">
        <v>255</v>
      </c>
      <c r="K69" s="109"/>
      <c r="L69" s="5"/>
      <c r="M69" s="5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9"/>
    </row>
    <row r="70" customHeight="1" spans="2:51">
      <c r="B70" s="7" t="s">
        <v>256</v>
      </c>
      <c r="C70" s="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15"/>
    </row>
    <row r="71" customHeight="1" spans="2:51">
      <c r="B71" s="7"/>
      <c r="C71" s="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15"/>
    </row>
    <row r="72" customHeight="1" spans="2:51">
      <c r="B72" s="9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6"/>
    </row>
    <row r="74" customHeight="1" spans="2:51">
      <c r="B74" s="100" t="s">
        <v>237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6"/>
    </row>
    <row r="75" customHeight="1" spans="2:51">
      <c r="B75" s="102" t="s">
        <v>239</v>
      </c>
      <c r="C75" s="103"/>
      <c r="D75" s="103" t="s">
        <v>32</v>
      </c>
      <c r="E75" s="103"/>
      <c r="F75" s="103" t="s">
        <v>69</v>
      </c>
      <c r="G75" s="103"/>
      <c r="H75" s="103" t="s">
        <v>240</v>
      </c>
      <c r="I75" s="103"/>
      <c r="J75" s="103" t="s">
        <v>72</v>
      </c>
      <c r="K75" s="103"/>
      <c r="L75" s="103" t="s">
        <v>41</v>
      </c>
      <c r="M75" s="103"/>
      <c r="N75" s="103" t="s">
        <v>41</v>
      </c>
      <c r="O75" s="103"/>
      <c r="P75" s="103" t="s">
        <v>41</v>
      </c>
      <c r="Q75" s="103"/>
      <c r="R75" s="103" t="s">
        <v>41</v>
      </c>
      <c r="S75" s="103"/>
      <c r="T75" s="103" t="s">
        <v>41</v>
      </c>
      <c r="U75" s="103"/>
      <c r="V75" s="103" t="s">
        <v>41</v>
      </c>
      <c r="W75" s="103"/>
      <c r="X75" s="103" t="s">
        <v>41</v>
      </c>
      <c r="Y75" s="103"/>
      <c r="Z75" s="103" t="s">
        <v>41</v>
      </c>
      <c r="AA75" s="103"/>
      <c r="AB75" s="103" t="s">
        <v>41</v>
      </c>
      <c r="AC75" s="103"/>
      <c r="AD75" s="103" t="s">
        <v>41</v>
      </c>
      <c r="AE75" s="103"/>
      <c r="AF75" s="103" t="s">
        <v>41</v>
      </c>
      <c r="AG75" s="103"/>
      <c r="AH75" s="103" t="s">
        <v>41</v>
      </c>
      <c r="AI75" s="103"/>
      <c r="AJ75" s="103" t="s">
        <v>41</v>
      </c>
      <c r="AK75" s="103"/>
      <c r="AL75" s="103" t="s">
        <v>41</v>
      </c>
      <c r="AM75" s="103"/>
      <c r="AN75" s="103" t="s">
        <v>41</v>
      </c>
      <c r="AO75" s="103"/>
      <c r="AP75" s="103" t="s">
        <v>41</v>
      </c>
      <c r="AQ75" s="103"/>
      <c r="AR75" s="103" t="s">
        <v>41</v>
      </c>
      <c r="AS75" s="103"/>
      <c r="AT75" s="103" t="s">
        <v>41</v>
      </c>
      <c r="AU75" s="103"/>
      <c r="AV75" s="103" t="s">
        <v>41</v>
      </c>
      <c r="AW75" s="103"/>
      <c r="AX75" s="103" t="s">
        <v>41</v>
      </c>
      <c r="AY75" s="117"/>
    </row>
    <row r="76" customHeight="1" spans="2:51">
      <c r="B76" s="104">
        <f>SUM(D76:AY76)</f>
        <v>0</v>
      </c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18"/>
    </row>
    <row r="77" customHeight="1" spans="2:51">
      <c r="B77" s="102" t="s">
        <v>241</v>
      </c>
      <c r="C77" s="103"/>
      <c r="D77" s="103" t="s">
        <v>32</v>
      </c>
      <c r="E77" s="103"/>
      <c r="F77" s="103" t="s">
        <v>69</v>
      </c>
      <c r="G77" s="103"/>
      <c r="H77" s="103" t="s">
        <v>240</v>
      </c>
      <c r="I77" s="103"/>
      <c r="J77" s="103" t="s">
        <v>41</v>
      </c>
      <c r="K77" s="103"/>
      <c r="L77" s="103" t="s">
        <v>41</v>
      </c>
      <c r="M77" s="103"/>
      <c r="N77" s="103" t="s">
        <v>41</v>
      </c>
      <c r="O77" s="103"/>
      <c r="P77" s="103" t="s">
        <v>41</v>
      </c>
      <c r="Q77" s="103"/>
      <c r="R77" s="103" t="s">
        <v>41</v>
      </c>
      <c r="S77" s="103"/>
      <c r="T77" s="103" t="s">
        <v>41</v>
      </c>
      <c r="U77" s="103"/>
      <c r="V77" s="103" t="s">
        <v>41</v>
      </c>
      <c r="W77" s="103"/>
      <c r="X77" s="103" t="s">
        <v>41</v>
      </c>
      <c r="Y77" s="103"/>
      <c r="Z77" s="103" t="s">
        <v>41</v>
      </c>
      <c r="AA77" s="103"/>
      <c r="AB77" s="103" t="s">
        <v>41</v>
      </c>
      <c r="AC77" s="103"/>
      <c r="AD77" s="103" t="s">
        <v>41</v>
      </c>
      <c r="AE77" s="103"/>
      <c r="AF77" s="103" t="s">
        <v>41</v>
      </c>
      <c r="AG77" s="103"/>
      <c r="AH77" s="103" t="s">
        <v>41</v>
      </c>
      <c r="AI77" s="103"/>
      <c r="AJ77" s="103" t="s">
        <v>41</v>
      </c>
      <c r="AK77" s="103"/>
      <c r="AL77" s="103" t="s">
        <v>41</v>
      </c>
      <c r="AM77" s="103"/>
      <c r="AN77" s="103" t="s">
        <v>41</v>
      </c>
      <c r="AO77" s="103"/>
      <c r="AP77" s="103" t="s">
        <v>41</v>
      </c>
      <c r="AQ77" s="103"/>
      <c r="AR77" s="103" t="s">
        <v>41</v>
      </c>
      <c r="AS77" s="103"/>
      <c r="AT77" s="103" t="s">
        <v>41</v>
      </c>
      <c r="AU77" s="103"/>
      <c r="AV77" s="103" t="s">
        <v>41</v>
      </c>
      <c r="AW77" s="103"/>
      <c r="AX77" s="103" t="s">
        <v>41</v>
      </c>
      <c r="AY77" s="117"/>
    </row>
    <row r="78" customHeight="1" spans="2:51">
      <c r="B78" s="104">
        <f>SUM(D78:AY78)</f>
        <v>0</v>
      </c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18"/>
    </row>
    <row r="79" customHeight="1" spans="2:51">
      <c r="B79" s="102" t="s">
        <v>71</v>
      </c>
      <c r="C79" s="103"/>
      <c r="D79" s="103" t="s">
        <v>242</v>
      </c>
      <c r="E79" s="103"/>
      <c r="F79" s="103" t="s">
        <v>243</v>
      </c>
      <c r="G79" s="103"/>
      <c r="H79" s="103" t="s">
        <v>41</v>
      </c>
      <c r="I79" s="103"/>
      <c r="J79" s="103" t="s">
        <v>41</v>
      </c>
      <c r="K79" s="103"/>
      <c r="L79" s="103" t="s">
        <v>41</v>
      </c>
      <c r="M79" s="103"/>
      <c r="N79" s="103" t="s">
        <v>41</v>
      </c>
      <c r="O79" s="103"/>
      <c r="P79" s="103" t="s">
        <v>41</v>
      </c>
      <c r="Q79" s="103"/>
      <c r="R79" s="103" t="s">
        <v>41</v>
      </c>
      <c r="S79" s="103"/>
      <c r="T79" s="103" t="s">
        <v>41</v>
      </c>
      <c r="U79" s="103"/>
      <c r="V79" s="103" t="s">
        <v>41</v>
      </c>
      <c r="W79" s="103"/>
      <c r="X79" s="103" t="s">
        <v>41</v>
      </c>
      <c r="Y79" s="103"/>
      <c r="Z79" s="103" t="s">
        <v>41</v>
      </c>
      <c r="AA79" s="103"/>
      <c r="AB79" s="103" t="s">
        <v>41</v>
      </c>
      <c r="AC79" s="103"/>
      <c r="AD79" s="103" t="s">
        <v>41</v>
      </c>
      <c r="AE79" s="103"/>
      <c r="AF79" s="103" t="s">
        <v>41</v>
      </c>
      <c r="AG79" s="103"/>
      <c r="AH79" s="103" t="s">
        <v>41</v>
      </c>
      <c r="AI79" s="103"/>
      <c r="AJ79" s="103" t="s">
        <v>41</v>
      </c>
      <c r="AK79" s="103"/>
      <c r="AL79" s="103" t="s">
        <v>41</v>
      </c>
      <c r="AM79" s="103"/>
      <c r="AN79" s="103" t="s">
        <v>41</v>
      </c>
      <c r="AO79" s="103"/>
      <c r="AP79" s="103" t="s">
        <v>41</v>
      </c>
      <c r="AQ79" s="103"/>
      <c r="AR79" s="103" t="s">
        <v>41</v>
      </c>
      <c r="AS79" s="103"/>
      <c r="AT79" s="103" t="s">
        <v>41</v>
      </c>
      <c r="AU79" s="103"/>
      <c r="AV79" s="103" t="s">
        <v>41</v>
      </c>
      <c r="AW79" s="103"/>
      <c r="AX79" s="103" t="s">
        <v>41</v>
      </c>
      <c r="AY79" s="117"/>
    </row>
    <row r="80" customHeight="1" spans="2:51">
      <c r="B80" s="104">
        <f>SUM(D80:AY80)</f>
        <v>0</v>
      </c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18"/>
    </row>
    <row r="81" customHeight="1" spans="2:51">
      <c r="B81" s="106" t="s">
        <v>244</v>
      </c>
      <c r="C81" s="107"/>
      <c r="D81" s="103" t="s">
        <v>245</v>
      </c>
      <c r="E81" s="103"/>
      <c r="F81" s="103" t="s">
        <v>246</v>
      </c>
      <c r="G81" s="103"/>
      <c r="H81" s="103" t="s">
        <v>247</v>
      </c>
      <c r="I81" s="103"/>
      <c r="J81" s="103" t="s">
        <v>248</v>
      </c>
      <c r="K81" s="103"/>
      <c r="L81" s="103" t="s">
        <v>249</v>
      </c>
      <c r="M81" s="103"/>
      <c r="N81" s="103" t="s">
        <v>249</v>
      </c>
      <c r="O81" s="103"/>
      <c r="P81" s="103" t="s">
        <v>249</v>
      </c>
      <c r="Q81" s="103"/>
      <c r="R81" s="103" t="s">
        <v>249</v>
      </c>
      <c r="S81" s="103"/>
      <c r="T81" s="103" t="s">
        <v>249</v>
      </c>
      <c r="U81" s="103"/>
      <c r="V81" s="103" t="s">
        <v>249</v>
      </c>
      <c r="W81" s="103"/>
      <c r="X81" s="103" t="s">
        <v>249</v>
      </c>
      <c r="Y81" s="103"/>
      <c r="Z81" s="103" t="s">
        <v>249</v>
      </c>
      <c r="AA81" s="103"/>
      <c r="AB81" s="103" t="s">
        <v>249</v>
      </c>
      <c r="AC81" s="103"/>
      <c r="AD81" s="103" t="s">
        <v>249</v>
      </c>
      <c r="AE81" s="103"/>
      <c r="AF81" s="103" t="s">
        <v>249</v>
      </c>
      <c r="AG81" s="103"/>
      <c r="AH81" s="103" t="s">
        <v>249</v>
      </c>
      <c r="AI81" s="103"/>
      <c r="AJ81" s="103" t="s">
        <v>249</v>
      </c>
      <c r="AK81" s="103"/>
      <c r="AL81" s="103" t="s">
        <v>249</v>
      </c>
      <c r="AM81" s="103"/>
      <c r="AN81" s="103" t="s">
        <v>249</v>
      </c>
      <c r="AO81" s="103"/>
      <c r="AP81" s="103" t="s">
        <v>249</v>
      </c>
      <c r="AQ81" s="103"/>
      <c r="AR81" s="103" t="s">
        <v>249</v>
      </c>
      <c r="AS81" s="103"/>
      <c r="AT81" s="103" t="s">
        <v>249</v>
      </c>
      <c r="AU81" s="103"/>
      <c r="AV81" s="103" t="s">
        <v>249</v>
      </c>
      <c r="AW81" s="103"/>
      <c r="AX81" s="103" t="s">
        <v>249</v>
      </c>
      <c r="AY81" s="117"/>
    </row>
    <row r="82" customHeight="1" spans="2:51">
      <c r="B82" s="106"/>
      <c r="C82" s="107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18"/>
    </row>
    <row r="83" customHeight="1" spans="2:51">
      <c r="B83" s="102" t="s">
        <v>250</v>
      </c>
      <c r="C83" s="103"/>
      <c r="D83" s="103" t="s">
        <v>194</v>
      </c>
      <c r="E83" s="103"/>
      <c r="F83" s="103" t="s">
        <v>251</v>
      </c>
      <c r="G83" s="103"/>
      <c r="H83" s="103" t="s">
        <v>251</v>
      </c>
      <c r="I83" s="103"/>
      <c r="J83" s="103" t="s">
        <v>251</v>
      </c>
      <c r="K83" s="103"/>
      <c r="L83" s="103" t="s">
        <v>251</v>
      </c>
      <c r="M83" s="103"/>
      <c r="N83" s="103" t="s">
        <v>251</v>
      </c>
      <c r="O83" s="103"/>
      <c r="P83" s="103" t="s">
        <v>251</v>
      </c>
      <c r="Q83" s="103"/>
      <c r="R83" s="103" t="s">
        <v>251</v>
      </c>
      <c r="S83" s="103"/>
      <c r="T83" s="103" t="s">
        <v>251</v>
      </c>
      <c r="U83" s="103"/>
      <c r="V83" s="103" t="s">
        <v>251</v>
      </c>
      <c r="W83" s="103"/>
      <c r="X83" s="103" t="s">
        <v>251</v>
      </c>
      <c r="Y83" s="103"/>
      <c r="Z83" s="103" t="s">
        <v>251</v>
      </c>
      <c r="AA83" s="103"/>
      <c r="AB83" s="103" t="s">
        <v>251</v>
      </c>
      <c r="AC83" s="103"/>
      <c r="AD83" s="103" t="s">
        <v>251</v>
      </c>
      <c r="AE83" s="103"/>
      <c r="AF83" s="103" t="s">
        <v>251</v>
      </c>
      <c r="AG83" s="103"/>
      <c r="AH83" s="103" t="s">
        <v>251</v>
      </c>
      <c r="AI83" s="103"/>
      <c r="AJ83" s="103" t="s">
        <v>251</v>
      </c>
      <c r="AK83" s="103"/>
      <c r="AL83" s="103" t="s">
        <v>251</v>
      </c>
      <c r="AM83" s="103"/>
      <c r="AN83" s="103" t="s">
        <v>251</v>
      </c>
      <c r="AO83" s="103"/>
      <c r="AP83" s="103" t="s">
        <v>251</v>
      </c>
      <c r="AQ83" s="103"/>
      <c r="AR83" s="103" t="s">
        <v>251</v>
      </c>
      <c r="AS83" s="103"/>
      <c r="AT83" s="103" t="s">
        <v>251</v>
      </c>
      <c r="AU83" s="103"/>
      <c r="AV83" s="103" t="s">
        <v>251</v>
      </c>
      <c r="AW83" s="103"/>
      <c r="AX83" s="103" t="s">
        <v>251</v>
      </c>
      <c r="AY83" s="117"/>
    </row>
    <row r="84" customHeight="1" spans="2:51">
      <c r="B84" s="102"/>
      <c r="C84" s="103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18"/>
    </row>
    <row r="85" customHeight="1" spans="2:51">
      <c r="B85" s="108" t="s">
        <v>252</v>
      </c>
      <c r="C85" s="109"/>
      <c r="D85" s="5"/>
      <c r="E85" s="5"/>
      <c r="F85" s="109" t="s">
        <v>254</v>
      </c>
      <c r="G85" s="109"/>
      <c r="H85" s="5"/>
      <c r="I85" s="5"/>
      <c r="J85" s="109" t="s">
        <v>255</v>
      </c>
      <c r="K85" s="109"/>
      <c r="L85" s="5"/>
      <c r="M85" s="5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9"/>
    </row>
    <row r="86" customHeight="1" spans="2:51">
      <c r="B86" s="7" t="s">
        <v>256</v>
      </c>
      <c r="C86" s="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15"/>
    </row>
    <row r="87" customHeight="1" spans="2:51">
      <c r="B87" s="7"/>
      <c r="C87" s="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15"/>
    </row>
    <row r="88" customHeight="1" spans="2:51">
      <c r="B88" s="9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6"/>
    </row>
    <row r="90" customHeight="1" spans="2:51">
      <c r="B90" s="100" t="s">
        <v>237</v>
      </c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6"/>
    </row>
    <row r="91" customHeight="1" spans="2:51">
      <c r="B91" s="102" t="s">
        <v>239</v>
      </c>
      <c r="C91" s="103"/>
      <c r="D91" s="103" t="s">
        <v>32</v>
      </c>
      <c r="E91" s="103"/>
      <c r="F91" s="103" t="s">
        <v>69</v>
      </c>
      <c r="G91" s="103"/>
      <c r="H91" s="103" t="s">
        <v>240</v>
      </c>
      <c r="I91" s="103"/>
      <c r="J91" s="103" t="s">
        <v>72</v>
      </c>
      <c r="K91" s="103"/>
      <c r="L91" s="103" t="s">
        <v>41</v>
      </c>
      <c r="M91" s="103"/>
      <c r="N91" s="103" t="s">
        <v>41</v>
      </c>
      <c r="O91" s="103"/>
      <c r="P91" s="103" t="s">
        <v>41</v>
      </c>
      <c r="Q91" s="103"/>
      <c r="R91" s="103" t="s">
        <v>41</v>
      </c>
      <c r="S91" s="103"/>
      <c r="T91" s="103" t="s">
        <v>41</v>
      </c>
      <c r="U91" s="103"/>
      <c r="V91" s="103" t="s">
        <v>41</v>
      </c>
      <c r="W91" s="103"/>
      <c r="X91" s="103" t="s">
        <v>41</v>
      </c>
      <c r="Y91" s="103"/>
      <c r="Z91" s="103" t="s">
        <v>41</v>
      </c>
      <c r="AA91" s="103"/>
      <c r="AB91" s="103" t="s">
        <v>41</v>
      </c>
      <c r="AC91" s="103"/>
      <c r="AD91" s="103" t="s">
        <v>41</v>
      </c>
      <c r="AE91" s="103"/>
      <c r="AF91" s="103" t="s">
        <v>41</v>
      </c>
      <c r="AG91" s="103"/>
      <c r="AH91" s="103" t="s">
        <v>41</v>
      </c>
      <c r="AI91" s="103"/>
      <c r="AJ91" s="103" t="s">
        <v>41</v>
      </c>
      <c r="AK91" s="103"/>
      <c r="AL91" s="103" t="s">
        <v>41</v>
      </c>
      <c r="AM91" s="103"/>
      <c r="AN91" s="103" t="s">
        <v>41</v>
      </c>
      <c r="AO91" s="103"/>
      <c r="AP91" s="103" t="s">
        <v>41</v>
      </c>
      <c r="AQ91" s="103"/>
      <c r="AR91" s="103" t="s">
        <v>41</v>
      </c>
      <c r="AS91" s="103"/>
      <c r="AT91" s="103" t="s">
        <v>41</v>
      </c>
      <c r="AU91" s="103"/>
      <c r="AV91" s="103" t="s">
        <v>41</v>
      </c>
      <c r="AW91" s="103"/>
      <c r="AX91" s="103" t="s">
        <v>41</v>
      </c>
      <c r="AY91" s="117"/>
    </row>
    <row r="92" customHeight="1" spans="2:51">
      <c r="B92" s="104">
        <f>SUM(D92:AY92)</f>
        <v>0</v>
      </c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18"/>
    </row>
    <row r="93" customHeight="1" spans="2:51">
      <c r="B93" s="102" t="s">
        <v>241</v>
      </c>
      <c r="C93" s="103"/>
      <c r="D93" s="103" t="s">
        <v>32</v>
      </c>
      <c r="E93" s="103"/>
      <c r="F93" s="103" t="s">
        <v>69</v>
      </c>
      <c r="G93" s="103"/>
      <c r="H93" s="103" t="s">
        <v>240</v>
      </c>
      <c r="I93" s="103"/>
      <c r="J93" s="103" t="s">
        <v>41</v>
      </c>
      <c r="K93" s="103"/>
      <c r="L93" s="103" t="s">
        <v>41</v>
      </c>
      <c r="M93" s="103"/>
      <c r="N93" s="103" t="s">
        <v>41</v>
      </c>
      <c r="O93" s="103"/>
      <c r="P93" s="103" t="s">
        <v>41</v>
      </c>
      <c r="Q93" s="103"/>
      <c r="R93" s="103" t="s">
        <v>41</v>
      </c>
      <c r="S93" s="103"/>
      <c r="T93" s="103" t="s">
        <v>41</v>
      </c>
      <c r="U93" s="103"/>
      <c r="V93" s="103" t="s">
        <v>41</v>
      </c>
      <c r="W93" s="103"/>
      <c r="X93" s="103" t="s">
        <v>41</v>
      </c>
      <c r="Y93" s="103"/>
      <c r="Z93" s="103" t="s">
        <v>41</v>
      </c>
      <c r="AA93" s="103"/>
      <c r="AB93" s="103" t="s">
        <v>41</v>
      </c>
      <c r="AC93" s="103"/>
      <c r="AD93" s="103" t="s">
        <v>41</v>
      </c>
      <c r="AE93" s="103"/>
      <c r="AF93" s="103" t="s">
        <v>41</v>
      </c>
      <c r="AG93" s="103"/>
      <c r="AH93" s="103" t="s">
        <v>41</v>
      </c>
      <c r="AI93" s="103"/>
      <c r="AJ93" s="103" t="s">
        <v>41</v>
      </c>
      <c r="AK93" s="103"/>
      <c r="AL93" s="103" t="s">
        <v>41</v>
      </c>
      <c r="AM93" s="103"/>
      <c r="AN93" s="103" t="s">
        <v>41</v>
      </c>
      <c r="AO93" s="103"/>
      <c r="AP93" s="103" t="s">
        <v>41</v>
      </c>
      <c r="AQ93" s="103"/>
      <c r="AR93" s="103" t="s">
        <v>41</v>
      </c>
      <c r="AS93" s="103"/>
      <c r="AT93" s="103" t="s">
        <v>41</v>
      </c>
      <c r="AU93" s="103"/>
      <c r="AV93" s="103" t="s">
        <v>41</v>
      </c>
      <c r="AW93" s="103"/>
      <c r="AX93" s="103" t="s">
        <v>41</v>
      </c>
      <c r="AY93" s="117"/>
    </row>
    <row r="94" customHeight="1" spans="2:51">
      <c r="B94" s="104">
        <f>SUM(D94:AY94)</f>
        <v>0</v>
      </c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18"/>
    </row>
    <row r="95" customHeight="1" spans="2:51">
      <c r="B95" s="102" t="s">
        <v>71</v>
      </c>
      <c r="C95" s="103"/>
      <c r="D95" s="103" t="s">
        <v>242</v>
      </c>
      <c r="E95" s="103"/>
      <c r="F95" s="103" t="s">
        <v>243</v>
      </c>
      <c r="G95" s="103"/>
      <c r="H95" s="103" t="s">
        <v>41</v>
      </c>
      <c r="I95" s="103"/>
      <c r="J95" s="103" t="s">
        <v>41</v>
      </c>
      <c r="K95" s="103"/>
      <c r="L95" s="103" t="s">
        <v>41</v>
      </c>
      <c r="M95" s="103"/>
      <c r="N95" s="103" t="s">
        <v>41</v>
      </c>
      <c r="O95" s="103"/>
      <c r="P95" s="103" t="s">
        <v>41</v>
      </c>
      <c r="Q95" s="103"/>
      <c r="R95" s="103" t="s">
        <v>41</v>
      </c>
      <c r="S95" s="103"/>
      <c r="T95" s="103" t="s">
        <v>41</v>
      </c>
      <c r="U95" s="103"/>
      <c r="V95" s="103" t="s">
        <v>41</v>
      </c>
      <c r="W95" s="103"/>
      <c r="X95" s="103" t="s">
        <v>41</v>
      </c>
      <c r="Y95" s="103"/>
      <c r="Z95" s="103" t="s">
        <v>41</v>
      </c>
      <c r="AA95" s="103"/>
      <c r="AB95" s="103" t="s">
        <v>41</v>
      </c>
      <c r="AC95" s="103"/>
      <c r="AD95" s="103" t="s">
        <v>41</v>
      </c>
      <c r="AE95" s="103"/>
      <c r="AF95" s="103" t="s">
        <v>41</v>
      </c>
      <c r="AG95" s="103"/>
      <c r="AH95" s="103" t="s">
        <v>41</v>
      </c>
      <c r="AI95" s="103"/>
      <c r="AJ95" s="103" t="s">
        <v>41</v>
      </c>
      <c r="AK95" s="103"/>
      <c r="AL95" s="103" t="s">
        <v>41</v>
      </c>
      <c r="AM95" s="103"/>
      <c r="AN95" s="103" t="s">
        <v>41</v>
      </c>
      <c r="AO95" s="103"/>
      <c r="AP95" s="103" t="s">
        <v>41</v>
      </c>
      <c r="AQ95" s="103"/>
      <c r="AR95" s="103" t="s">
        <v>41</v>
      </c>
      <c r="AS95" s="103"/>
      <c r="AT95" s="103" t="s">
        <v>41</v>
      </c>
      <c r="AU95" s="103"/>
      <c r="AV95" s="103" t="s">
        <v>41</v>
      </c>
      <c r="AW95" s="103"/>
      <c r="AX95" s="103" t="s">
        <v>41</v>
      </c>
      <c r="AY95" s="117"/>
    </row>
    <row r="96" customHeight="1" spans="2:51">
      <c r="B96" s="104">
        <f>SUM(D96:AY96)</f>
        <v>0</v>
      </c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18"/>
    </row>
    <row r="97" customHeight="1" spans="2:51">
      <c r="B97" s="106" t="s">
        <v>244</v>
      </c>
      <c r="C97" s="107"/>
      <c r="D97" s="103" t="s">
        <v>245</v>
      </c>
      <c r="E97" s="103"/>
      <c r="F97" s="103" t="s">
        <v>246</v>
      </c>
      <c r="G97" s="103"/>
      <c r="H97" s="103" t="s">
        <v>247</v>
      </c>
      <c r="I97" s="103"/>
      <c r="J97" s="103" t="s">
        <v>248</v>
      </c>
      <c r="K97" s="103"/>
      <c r="L97" s="103" t="s">
        <v>249</v>
      </c>
      <c r="M97" s="103"/>
      <c r="N97" s="103" t="s">
        <v>249</v>
      </c>
      <c r="O97" s="103"/>
      <c r="P97" s="103" t="s">
        <v>249</v>
      </c>
      <c r="Q97" s="103"/>
      <c r="R97" s="103" t="s">
        <v>249</v>
      </c>
      <c r="S97" s="103"/>
      <c r="T97" s="103" t="s">
        <v>249</v>
      </c>
      <c r="U97" s="103"/>
      <c r="V97" s="103" t="s">
        <v>249</v>
      </c>
      <c r="W97" s="103"/>
      <c r="X97" s="103" t="s">
        <v>249</v>
      </c>
      <c r="Y97" s="103"/>
      <c r="Z97" s="103" t="s">
        <v>249</v>
      </c>
      <c r="AA97" s="103"/>
      <c r="AB97" s="103" t="s">
        <v>249</v>
      </c>
      <c r="AC97" s="103"/>
      <c r="AD97" s="103" t="s">
        <v>249</v>
      </c>
      <c r="AE97" s="103"/>
      <c r="AF97" s="103" t="s">
        <v>249</v>
      </c>
      <c r="AG97" s="103"/>
      <c r="AH97" s="103" t="s">
        <v>249</v>
      </c>
      <c r="AI97" s="103"/>
      <c r="AJ97" s="103" t="s">
        <v>249</v>
      </c>
      <c r="AK97" s="103"/>
      <c r="AL97" s="103" t="s">
        <v>249</v>
      </c>
      <c r="AM97" s="103"/>
      <c r="AN97" s="103" t="s">
        <v>249</v>
      </c>
      <c r="AO97" s="103"/>
      <c r="AP97" s="103" t="s">
        <v>249</v>
      </c>
      <c r="AQ97" s="103"/>
      <c r="AR97" s="103" t="s">
        <v>249</v>
      </c>
      <c r="AS97" s="103"/>
      <c r="AT97" s="103" t="s">
        <v>249</v>
      </c>
      <c r="AU97" s="103"/>
      <c r="AV97" s="103" t="s">
        <v>249</v>
      </c>
      <c r="AW97" s="103"/>
      <c r="AX97" s="103" t="s">
        <v>249</v>
      </c>
      <c r="AY97" s="117"/>
    </row>
    <row r="98" customHeight="1" spans="2:51">
      <c r="B98" s="106"/>
      <c r="C98" s="107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5"/>
      <c r="AV98" s="105"/>
      <c r="AW98" s="105"/>
      <c r="AX98" s="105"/>
      <c r="AY98" s="118"/>
    </row>
    <row r="99" customHeight="1" spans="2:51">
      <c r="B99" s="102" t="s">
        <v>250</v>
      </c>
      <c r="C99" s="103"/>
      <c r="D99" s="103" t="s">
        <v>194</v>
      </c>
      <c r="E99" s="103"/>
      <c r="F99" s="103" t="s">
        <v>251</v>
      </c>
      <c r="G99" s="103"/>
      <c r="H99" s="103" t="s">
        <v>251</v>
      </c>
      <c r="I99" s="103"/>
      <c r="J99" s="103" t="s">
        <v>251</v>
      </c>
      <c r="K99" s="103"/>
      <c r="L99" s="103" t="s">
        <v>251</v>
      </c>
      <c r="M99" s="103"/>
      <c r="N99" s="103" t="s">
        <v>251</v>
      </c>
      <c r="O99" s="103"/>
      <c r="P99" s="103" t="s">
        <v>251</v>
      </c>
      <c r="Q99" s="103"/>
      <c r="R99" s="103" t="s">
        <v>251</v>
      </c>
      <c r="S99" s="103"/>
      <c r="T99" s="103" t="s">
        <v>251</v>
      </c>
      <c r="U99" s="103"/>
      <c r="V99" s="103" t="s">
        <v>251</v>
      </c>
      <c r="W99" s="103"/>
      <c r="X99" s="103" t="s">
        <v>251</v>
      </c>
      <c r="Y99" s="103"/>
      <c r="Z99" s="103" t="s">
        <v>251</v>
      </c>
      <c r="AA99" s="103"/>
      <c r="AB99" s="103" t="s">
        <v>251</v>
      </c>
      <c r="AC99" s="103"/>
      <c r="AD99" s="103" t="s">
        <v>251</v>
      </c>
      <c r="AE99" s="103"/>
      <c r="AF99" s="103" t="s">
        <v>251</v>
      </c>
      <c r="AG99" s="103"/>
      <c r="AH99" s="103" t="s">
        <v>251</v>
      </c>
      <c r="AI99" s="103"/>
      <c r="AJ99" s="103" t="s">
        <v>251</v>
      </c>
      <c r="AK99" s="103"/>
      <c r="AL99" s="103" t="s">
        <v>251</v>
      </c>
      <c r="AM99" s="103"/>
      <c r="AN99" s="103" t="s">
        <v>251</v>
      </c>
      <c r="AO99" s="103"/>
      <c r="AP99" s="103" t="s">
        <v>251</v>
      </c>
      <c r="AQ99" s="103"/>
      <c r="AR99" s="103" t="s">
        <v>251</v>
      </c>
      <c r="AS99" s="103"/>
      <c r="AT99" s="103" t="s">
        <v>251</v>
      </c>
      <c r="AU99" s="103"/>
      <c r="AV99" s="103" t="s">
        <v>251</v>
      </c>
      <c r="AW99" s="103"/>
      <c r="AX99" s="103" t="s">
        <v>251</v>
      </c>
      <c r="AY99" s="117"/>
    </row>
    <row r="100" customHeight="1" spans="2:51">
      <c r="B100" s="102"/>
      <c r="C100" s="103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18"/>
    </row>
    <row r="101" customHeight="1" spans="2:51">
      <c r="B101" s="108" t="s">
        <v>252</v>
      </c>
      <c r="C101" s="109"/>
      <c r="D101" s="5"/>
      <c r="E101" s="5"/>
      <c r="F101" s="109" t="s">
        <v>254</v>
      </c>
      <c r="G101" s="109"/>
      <c r="H101" s="5"/>
      <c r="I101" s="5"/>
      <c r="J101" s="109" t="s">
        <v>255</v>
      </c>
      <c r="K101" s="109"/>
      <c r="L101" s="5"/>
      <c r="M101" s="5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9"/>
    </row>
    <row r="102" customHeight="1" spans="2:51">
      <c r="B102" s="7" t="s">
        <v>256</v>
      </c>
      <c r="C102" s="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15"/>
    </row>
    <row r="103" customHeight="1" spans="2:51">
      <c r="B103" s="7"/>
      <c r="C103" s="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15"/>
    </row>
    <row r="104" customHeight="1" spans="2:51">
      <c r="B104" s="9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6"/>
    </row>
  </sheetData>
  <mergeCells count="1562">
    <mergeCell ref="B2:S2"/>
    <mergeCell ref="T2:AK2"/>
    <mergeCell ref="B3:S3"/>
    <mergeCell ref="T3:AK3"/>
    <mergeCell ref="B4:S4"/>
    <mergeCell ref="T4:AK4"/>
    <mergeCell ref="B5:S5"/>
    <mergeCell ref="T5:AK5"/>
    <mergeCell ref="B6:S6"/>
    <mergeCell ref="T6:AK6"/>
    <mergeCell ref="B7:S7"/>
    <mergeCell ref="T7:AK7"/>
    <mergeCell ref="B8:S8"/>
    <mergeCell ref="T8:AK8"/>
    <mergeCell ref="B10:D10"/>
    <mergeCell ref="E10:O10"/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B21:C21"/>
    <mergeCell ref="D21:E21"/>
    <mergeCell ref="F21:G21"/>
    <mergeCell ref="H21:I21"/>
    <mergeCell ref="J21:K21"/>
    <mergeCell ref="L21:M21"/>
    <mergeCell ref="B26:D26"/>
    <mergeCell ref="E26:O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B37:C37"/>
    <mergeCell ref="D37:E37"/>
    <mergeCell ref="F37:G37"/>
    <mergeCell ref="H37:I37"/>
    <mergeCell ref="J37:K37"/>
    <mergeCell ref="L37:M37"/>
    <mergeCell ref="B42:D42"/>
    <mergeCell ref="E42:O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B53:C53"/>
    <mergeCell ref="D53:E53"/>
    <mergeCell ref="F53:G53"/>
    <mergeCell ref="H53:I53"/>
    <mergeCell ref="J53:K53"/>
    <mergeCell ref="L53:M53"/>
    <mergeCell ref="B58:D58"/>
    <mergeCell ref="E58:O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B60:C60"/>
    <mergeCell ref="D60:E60"/>
    <mergeCell ref="F60:G60"/>
    <mergeCell ref="H60:I60"/>
    <mergeCell ref="J60:K60"/>
    <mergeCell ref="L60:M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W60"/>
    <mergeCell ref="AX60:AY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B64:C64"/>
    <mergeCell ref="D64:E64"/>
    <mergeCell ref="F64:G64"/>
    <mergeCell ref="H64:I64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D65:E65"/>
    <mergeCell ref="F65:G65"/>
    <mergeCell ref="H65:I65"/>
    <mergeCell ref="J65:K65"/>
    <mergeCell ref="L65:M65"/>
    <mergeCell ref="N65:O65"/>
    <mergeCell ref="P65:Q65"/>
    <mergeCell ref="R65:S65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D66:E66"/>
    <mergeCell ref="F66:G66"/>
    <mergeCell ref="H66:I66"/>
    <mergeCell ref="J66:K66"/>
    <mergeCell ref="L66:M66"/>
    <mergeCell ref="N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AX67:AY67"/>
    <mergeCell ref="D68:E68"/>
    <mergeCell ref="F68:G68"/>
    <mergeCell ref="H68:I68"/>
    <mergeCell ref="J68:K68"/>
    <mergeCell ref="L68:M68"/>
    <mergeCell ref="N68:O68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B69:C69"/>
    <mergeCell ref="D69:E69"/>
    <mergeCell ref="F69:G69"/>
    <mergeCell ref="H69:I69"/>
    <mergeCell ref="J69:K69"/>
    <mergeCell ref="L69:M69"/>
    <mergeCell ref="B74:D74"/>
    <mergeCell ref="E74:O74"/>
    <mergeCell ref="B75:C75"/>
    <mergeCell ref="D75:E75"/>
    <mergeCell ref="F75:G75"/>
    <mergeCell ref="H75:I75"/>
    <mergeCell ref="J75:K75"/>
    <mergeCell ref="L75:M75"/>
    <mergeCell ref="N75:O75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AX75:AY75"/>
    <mergeCell ref="B76:C76"/>
    <mergeCell ref="D76:E76"/>
    <mergeCell ref="F76:G76"/>
    <mergeCell ref="H76:I76"/>
    <mergeCell ref="J76:K76"/>
    <mergeCell ref="L76:M76"/>
    <mergeCell ref="N76:O76"/>
    <mergeCell ref="P76:Q76"/>
    <mergeCell ref="R76:S76"/>
    <mergeCell ref="T76:U76"/>
    <mergeCell ref="V76:W76"/>
    <mergeCell ref="X76:Y76"/>
    <mergeCell ref="Z76:AA76"/>
    <mergeCell ref="AB76:AC76"/>
    <mergeCell ref="AD76:AE76"/>
    <mergeCell ref="AF76:AG76"/>
    <mergeCell ref="AH76:AI76"/>
    <mergeCell ref="AJ76:AK76"/>
    <mergeCell ref="AL76:AM76"/>
    <mergeCell ref="AN76:AO76"/>
    <mergeCell ref="AP76:AQ76"/>
    <mergeCell ref="AR76:AS76"/>
    <mergeCell ref="AT76:AU76"/>
    <mergeCell ref="AV76:AW76"/>
    <mergeCell ref="AX76:AY76"/>
    <mergeCell ref="B77:C77"/>
    <mergeCell ref="D77:E77"/>
    <mergeCell ref="F77:G77"/>
    <mergeCell ref="H77:I77"/>
    <mergeCell ref="J77:K77"/>
    <mergeCell ref="L77:M77"/>
    <mergeCell ref="N77:O77"/>
    <mergeCell ref="P77:Q77"/>
    <mergeCell ref="R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AL77:AM77"/>
    <mergeCell ref="AN77:AO77"/>
    <mergeCell ref="AP77:AQ77"/>
    <mergeCell ref="AR77:AS77"/>
    <mergeCell ref="AT77:AU77"/>
    <mergeCell ref="AV77:AW77"/>
    <mergeCell ref="AX77:AY77"/>
    <mergeCell ref="B78:C78"/>
    <mergeCell ref="D78:E78"/>
    <mergeCell ref="F78:G78"/>
    <mergeCell ref="H78:I78"/>
    <mergeCell ref="J78:K78"/>
    <mergeCell ref="L78:M78"/>
    <mergeCell ref="N78:O78"/>
    <mergeCell ref="P78:Q78"/>
    <mergeCell ref="R78:S78"/>
    <mergeCell ref="T78:U78"/>
    <mergeCell ref="V78:W78"/>
    <mergeCell ref="X78:Y78"/>
    <mergeCell ref="Z78:AA78"/>
    <mergeCell ref="AB78:AC78"/>
    <mergeCell ref="AD78:AE78"/>
    <mergeCell ref="AF78:AG78"/>
    <mergeCell ref="AH78:AI78"/>
    <mergeCell ref="AJ78:AK78"/>
    <mergeCell ref="AL78:AM78"/>
    <mergeCell ref="AN78:AO78"/>
    <mergeCell ref="AP78:AQ78"/>
    <mergeCell ref="AR78:AS78"/>
    <mergeCell ref="AT78:AU78"/>
    <mergeCell ref="AV78:AW78"/>
    <mergeCell ref="AX78:AY78"/>
    <mergeCell ref="B79:C79"/>
    <mergeCell ref="D79:E79"/>
    <mergeCell ref="F79:G79"/>
    <mergeCell ref="H79:I79"/>
    <mergeCell ref="J79:K79"/>
    <mergeCell ref="L79:M79"/>
    <mergeCell ref="N79:O79"/>
    <mergeCell ref="P79:Q79"/>
    <mergeCell ref="R79:S79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AJ79:AK79"/>
    <mergeCell ref="AL79:AM79"/>
    <mergeCell ref="AN79:AO79"/>
    <mergeCell ref="AP79:AQ79"/>
    <mergeCell ref="AR79:AS79"/>
    <mergeCell ref="AT79:AU79"/>
    <mergeCell ref="AV79:AW79"/>
    <mergeCell ref="AX79:AY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V80:W80"/>
    <mergeCell ref="X80:Y80"/>
    <mergeCell ref="Z80:AA80"/>
    <mergeCell ref="AB80:AC80"/>
    <mergeCell ref="AD80:AE80"/>
    <mergeCell ref="AF80:AG80"/>
    <mergeCell ref="AH80:AI80"/>
    <mergeCell ref="AJ80:AK80"/>
    <mergeCell ref="AL80:AM80"/>
    <mergeCell ref="AN80:AO80"/>
    <mergeCell ref="AP80:AQ80"/>
    <mergeCell ref="AR80:AS80"/>
    <mergeCell ref="AT80:AU80"/>
    <mergeCell ref="AV80:AW80"/>
    <mergeCell ref="AX80:AY80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V81:W81"/>
    <mergeCell ref="X81:Y81"/>
    <mergeCell ref="Z81:AA81"/>
    <mergeCell ref="AB81:AC81"/>
    <mergeCell ref="AD81:AE81"/>
    <mergeCell ref="AF81:AG81"/>
    <mergeCell ref="AH81:AI81"/>
    <mergeCell ref="AJ81:AK81"/>
    <mergeCell ref="AL81:AM81"/>
    <mergeCell ref="AN81:AO81"/>
    <mergeCell ref="AP81:AQ81"/>
    <mergeCell ref="AR81:AS81"/>
    <mergeCell ref="AT81:AU81"/>
    <mergeCell ref="AV81:AW81"/>
    <mergeCell ref="AX81:AY81"/>
    <mergeCell ref="D82:E82"/>
    <mergeCell ref="F82:G82"/>
    <mergeCell ref="H82:I82"/>
    <mergeCell ref="J82:K82"/>
    <mergeCell ref="L82:M82"/>
    <mergeCell ref="N82:O82"/>
    <mergeCell ref="P82:Q82"/>
    <mergeCell ref="R82:S82"/>
    <mergeCell ref="T82:U82"/>
    <mergeCell ref="V82:W82"/>
    <mergeCell ref="X82:Y82"/>
    <mergeCell ref="Z82:AA82"/>
    <mergeCell ref="AB82:AC82"/>
    <mergeCell ref="AD82:AE82"/>
    <mergeCell ref="AF82:AG82"/>
    <mergeCell ref="AH82:AI82"/>
    <mergeCell ref="AJ82:AK82"/>
    <mergeCell ref="AL82:AM82"/>
    <mergeCell ref="AN82:AO82"/>
    <mergeCell ref="AP82:AQ82"/>
    <mergeCell ref="AR82:AS82"/>
    <mergeCell ref="AT82:AU82"/>
    <mergeCell ref="AV82:AW82"/>
    <mergeCell ref="AX82:AY82"/>
    <mergeCell ref="D83:E83"/>
    <mergeCell ref="F83:G83"/>
    <mergeCell ref="H83:I83"/>
    <mergeCell ref="J83:K83"/>
    <mergeCell ref="L83:M83"/>
    <mergeCell ref="N83:O83"/>
    <mergeCell ref="P83:Q83"/>
    <mergeCell ref="R83:S83"/>
    <mergeCell ref="T83:U83"/>
    <mergeCell ref="V83:W83"/>
    <mergeCell ref="X83:Y83"/>
    <mergeCell ref="Z83:AA83"/>
    <mergeCell ref="AB83:AC83"/>
    <mergeCell ref="AD83:AE83"/>
    <mergeCell ref="AF83:AG83"/>
    <mergeCell ref="AH83:AI83"/>
    <mergeCell ref="AJ83:AK83"/>
    <mergeCell ref="AL83:AM83"/>
    <mergeCell ref="AN83:AO83"/>
    <mergeCell ref="AP83:AQ83"/>
    <mergeCell ref="AR83:AS83"/>
    <mergeCell ref="AT83:AU83"/>
    <mergeCell ref="AV83:AW83"/>
    <mergeCell ref="AX83:AY83"/>
    <mergeCell ref="D84:E84"/>
    <mergeCell ref="F84:G84"/>
    <mergeCell ref="H84:I84"/>
    <mergeCell ref="J84:K84"/>
    <mergeCell ref="L84:M84"/>
    <mergeCell ref="N84:O84"/>
    <mergeCell ref="P84:Q84"/>
    <mergeCell ref="R84:S84"/>
    <mergeCell ref="T84:U84"/>
    <mergeCell ref="V84:W84"/>
    <mergeCell ref="X84:Y84"/>
    <mergeCell ref="Z84:AA84"/>
    <mergeCell ref="AB84:AC84"/>
    <mergeCell ref="AD84:AE84"/>
    <mergeCell ref="AF84:AG84"/>
    <mergeCell ref="AH84:AI84"/>
    <mergeCell ref="AJ84:AK84"/>
    <mergeCell ref="AL84:AM84"/>
    <mergeCell ref="AN84:AO84"/>
    <mergeCell ref="AP84:AQ84"/>
    <mergeCell ref="AR84:AS84"/>
    <mergeCell ref="AT84:AU84"/>
    <mergeCell ref="AV84:AW84"/>
    <mergeCell ref="AX84:AY84"/>
    <mergeCell ref="B85:C85"/>
    <mergeCell ref="D85:E85"/>
    <mergeCell ref="F85:G85"/>
    <mergeCell ref="H85:I85"/>
    <mergeCell ref="J85:K85"/>
    <mergeCell ref="L85:M85"/>
    <mergeCell ref="B90:D90"/>
    <mergeCell ref="E90:O90"/>
    <mergeCell ref="B91:C91"/>
    <mergeCell ref="D91:E91"/>
    <mergeCell ref="F91:G91"/>
    <mergeCell ref="H91:I91"/>
    <mergeCell ref="J91:K91"/>
    <mergeCell ref="L91:M91"/>
    <mergeCell ref="N91:O91"/>
    <mergeCell ref="P91:Q91"/>
    <mergeCell ref="R91:S91"/>
    <mergeCell ref="T91:U91"/>
    <mergeCell ref="V91:W91"/>
    <mergeCell ref="X91:Y91"/>
    <mergeCell ref="Z91:AA91"/>
    <mergeCell ref="AB91:AC91"/>
    <mergeCell ref="AD91:AE91"/>
    <mergeCell ref="AF91:AG91"/>
    <mergeCell ref="AH91:AI91"/>
    <mergeCell ref="AJ91:AK91"/>
    <mergeCell ref="AL91:AM91"/>
    <mergeCell ref="AN91:AO91"/>
    <mergeCell ref="AP91:AQ91"/>
    <mergeCell ref="AR91:AS91"/>
    <mergeCell ref="AT91:AU91"/>
    <mergeCell ref="AV91:AW91"/>
    <mergeCell ref="AX91:AY91"/>
    <mergeCell ref="B92:C92"/>
    <mergeCell ref="D92:E92"/>
    <mergeCell ref="F92:G92"/>
    <mergeCell ref="H92:I92"/>
    <mergeCell ref="J92:K92"/>
    <mergeCell ref="L92:M92"/>
    <mergeCell ref="N92:O92"/>
    <mergeCell ref="P92:Q92"/>
    <mergeCell ref="R92:S92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AJ92:AK92"/>
    <mergeCell ref="AL92:AM92"/>
    <mergeCell ref="AN92:AO92"/>
    <mergeCell ref="AP92:AQ92"/>
    <mergeCell ref="AR92:AS92"/>
    <mergeCell ref="AT92:AU92"/>
    <mergeCell ref="AV92:AW92"/>
    <mergeCell ref="AX92:AY92"/>
    <mergeCell ref="B93:C93"/>
    <mergeCell ref="D93:E93"/>
    <mergeCell ref="F93:G93"/>
    <mergeCell ref="H93:I93"/>
    <mergeCell ref="J93:K93"/>
    <mergeCell ref="L93:M93"/>
    <mergeCell ref="N93:O93"/>
    <mergeCell ref="P93:Q93"/>
    <mergeCell ref="R93:S93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AJ93:AK93"/>
    <mergeCell ref="AL93:AM93"/>
    <mergeCell ref="AN93:AO93"/>
    <mergeCell ref="AP93:AQ93"/>
    <mergeCell ref="AR93:AS93"/>
    <mergeCell ref="AT93:AU93"/>
    <mergeCell ref="AV93:AW93"/>
    <mergeCell ref="AX93:AY93"/>
    <mergeCell ref="B94:C94"/>
    <mergeCell ref="D94:E94"/>
    <mergeCell ref="F94:G94"/>
    <mergeCell ref="H94:I94"/>
    <mergeCell ref="J94:K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L94:AM94"/>
    <mergeCell ref="AN94:AO94"/>
    <mergeCell ref="AP94:AQ94"/>
    <mergeCell ref="AR94:AS94"/>
    <mergeCell ref="AT94:AU94"/>
    <mergeCell ref="AV94:AW94"/>
    <mergeCell ref="AX94:AY94"/>
    <mergeCell ref="B95:C95"/>
    <mergeCell ref="D95:E95"/>
    <mergeCell ref="F95:G95"/>
    <mergeCell ref="H95:I95"/>
    <mergeCell ref="J95:K95"/>
    <mergeCell ref="L95:M95"/>
    <mergeCell ref="N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AJ95:AK95"/>
    <mergeCell ref="AL95:AM95"/>
    <mergeCell ref="AN95:AO95"/>
    <mergeCell ref="AP95:AQ95"/>
    <mergeCell ref="AR95:AS95"/>
    <mergeCell ref="AT95:AU95"/>
    <mergeCell ref="AV95:AW95"/>
    <mergeCell ref="AX95:AY95"/>
    <mergeCell ref="B96:C96"/>
    <mergeCell ref="D96:E96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L96:AM96"/>
    <mergeCell ref="AN96:AO96"/>
    <mergeCell ref="AP96:AQ96"/>
    <mergeCell ref="AR96:AS96"/>
    <mergeCell ref="AT96:AU96"/>
    <mergeCell ref="AV96:AW96"/>
    <mergeCell ref="AX96:AY96"/>
    <mergeCell ref="D97:E97"/>
    <mergeCell ref="F97:G97"/>
    <mergeCell ref="H97:I97"/>
    <mergeCell ref="J97:K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N97:AO97"/>
    <mergeCell ref="AP97:AQ97"/>
    <mergeCell ref="AR97:AS97"/>
    <mergeCell ref="AT97:AU97"/>
    <mergeCell ref="AV97:AW97"/>
    <mergeCell ref="AX97:AY97"/>
    <mergeCell ref="D98:E98"/>
    <mergeCell ref="F98:G98"/>
    <mergeCell ref="H98:I98"/>
    <mergeCell ref="J98:K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L98:AM98"/>
    <mergeCell ref="AN98:AO98"/>
    <mergeCell ref="AP98:AQ98"/>
    <mergeCell ref="AR98:AS98"/>
    <mergeCell ref="AT98:AU98"/>
    <mergeCell ref="AV98:AW98"/>
    <mergeCell ref="AX98:AY98"/>
    <mergeCell ref="D99:E99"/>
    <mergeCell ref="F99:G99"/>
    <mergeCell ref="H99:I99"/>
    <mergeCell ref="J99:K99"/>
    <mergeCell ref="L99:M99"/>
    <mergeCell ref="N99:O99"/>
    <mergeCell ref="P99:Q99"/>
    <mergeCell ref="R99:S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M99"/>
    <mergeCell ref="AN99:AO99"/>
    <mergeCell ref="AP99:AQ99"/>
    <mergeCell ref="AR99:AS99"/>
    <mergeCell ref="AT99:AU99"/>
    <mergeCell ref="AV99:AW99"/>
    <mergeCell ref="AX99:AY99"/>
    <mergeCell ref="D100:E100"/>
    <mergeCell ref="F100:G100"/>
    <mergeCell ref="H100:I100"/>
    <mergeCell ref="J100:K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AJ100:AK100"/>
    <mergeCell ref="AL100:AM100"/>
    <mergeCell ref="AN100:AO100"/>
    <mergeCell ref="AP100:AQ100"/>
    <mergeCell ref="AR100:AS100"/>
    <mergeCell ref="AT100:AU100"/>
    <mergeCell ref="AV100:AW100"/>
    <mergeCell ref="AX100:AY100"/>
    <mergeCell ref="B101:C101"/>
    <mergeCell ref="D101:E101"/>
    <mergeCell ref="F101:G101"/>
    <mergeCell ref="H101:I101"/>
    <mergeCell ref="J101:K101"/>
    <mergeCell ref="L101:M101"/>
    <mergeCell ref="B17:C18"/>
    <mergeCell ref="B19:C20"/>
    <mergeCell ref="B22:C24"/>
    <mergeCell ref="D22:AY24"/>
    <mergeCell ref="B33:C34"/>
    <mergeCell ref="B35:C36"/>
    <mergeCell ref="B38:C40"/>
    <mergeCell ref="B49:C50"/>
    <mergeCell ref="B51:C52"/>
    <mergeCell ref="B54:C56"/>
    <mergeCell ref="B65:C66"/>
    <mergeCell ref="B67:C68"/>
    <mergeCell ref="B70:C72"/>
    <mergeCell ref="B81:C82"/>
    <mergeCell ref="B83:C84"/>
    <mergeCell ref="B86:C88"/>
    <mergeCell ref="B97:C98"/>
    <mergeCell ref="B99:C100"/>
    <mergeCell ref="B102:C104"/>
    <mergeCell ref="D38:AY40"/>
    <mergeCell ref="D54:AY56"/>
    <mergeCell ref="D70:AY72"/>
    <mergeCell ref="D86:AY88"/>
    <mergeCell ref="D102:AY10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K62"/>
  <sheetViews>
    <sheetView workbookViewId="0">
      <selection activeCell="N50" sqref="N50:O50"/>
    </sheetView>
  </sheetViews>
  <sheetFormatPr defaultColWidth="4.775" defaultRowHeight="16" customHeight="1"/>
  <cols>
    <col min="1" max="18" width="4.775" customWidth="1"/>
    <col min="19" max="20" width="4.775" style="64" customWidth="1"/>
    <col min="21" max="16384" width="4.775" customWidth="1"/>
  </cols>
  <sheetData>
    <row r="2" customHeight="1" spans="2:37">
      <c r="B2" s="29" t="s">
        <v>257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5"/>
    </row>
    <row r="3" customHeight="1" spans="2:37">
      <c r="B3" s="65" t="s">
        <v>258</v>
      </c>
      <c r="C3" s="66"/>
      <c r="D3" s="67" t="s">
        <v>101</v>
      </c>
      <c r="E3" s="67"/>
      <c r="F3" s="68" t="s">
        <v>59</v>
      </c>
      <c r="G3" s="68"/>
      <c r="H3" s="68" t="s">
        <v>66</v>
      </c>
      <c r="I3" s="68"/>
      <c r="J3" s="68" t="s">
        <v>41</v>
      </c>
      <c r="K3" s="68"/>
      <c r="L3" s="68" t="s">
        <v>41</v>
      </c>
      <c r="M3" s="68"/>
      <c r="N3" s="68" t="s">
        <v>41</v>
      </c>
      <c r="O3" s="68"/>
      <c r="P3" s="68" t="s">
        <v>41</v>
      </c>
      <c r="Q3" s="68"/>
      <c r="R3" s="68" t="s">
        <v>41</v>
      </c>
      <c r="S3" s="68"/>
      <c r="T3" s="82" t="s">
        <v>259</v>
      </c>
      <c r="U3" s="66"/>
      <c r="V3" s="67" t="s">
        <v>101</v>
      </c>
      <c r="W3" s="67"/>
      <c r="X3" s="68" t="s">
        <v>55</v>
      </c>
      <c r="Y3" s="68"/>
      <c r="Z3" s="68" t="s">
        <v>85</v>
      </c>
      <c r="AA3" s="68"/>
      <c r="AB3" s="68" t="s">
        <v>72</v>
      </c>
      <c r="AC3" s="68"/>
      <c r="AD3" s="68" t="s">
        <v>41</v>
      </c>
      <c r="AE3" s="68"/>
      <c r="AF3" s="68" t="s">
        <v>41</v>
      </c>
      <c r="AG3" s="68"/>
      <c r="AH3" s="68" t="s">
        <v>41</v>
      </c>
      <c r="AI3" s="68"/>
      <c r="AJ3" s="68" t="s">
        <v>41</v>
      </c>
      <c r="AK3" s="86"/>
    </row>
    <row r="4" customHeight="1" spans="2:37">
      <c r="B4" s="69"/>
      <c r="C4" s="70"/>
      <c r="D4" s="71">
        <f>SUM(F4:S4)</f>
        <v>7</v>
      </c>
      <c r="E4" s="71"/>
      <c r="F4" s="71">
        <f>人物卡!G21</f>
        <v>4</v>
      </c>
      <c r="G4" s="71"/>
      <c r="H4" s="71">
        <f>人物卡!G24</f>
        <v>3</v>
      </c>
      <c r="I4" s="71"/>
      <c r="J4" s="71"/>
      <c r="K4" s="71"/>
      <c r="L4" s="71"/>
      <c r="M4" s="71"/>
      <c r="N4" s="79"/>
      <c r="O4" s="79"/>
      <c r="P4" s="79"/>
      <c r="Q4" s="79"/>
      <c r="R4" s="79"/>
      <c r="S4" s="79"/>
      <c r="T4" s="83"/>
      <c r="U4" s="70"/>
      <c r="V4" s="71">
        <f>SUM(X4:AK4)</f>
        <v>4</v>
      </c>
      <c r="W4" s="71"/>
      <c r="X4" s="71">
        <f>人物卡!G19</f>
        <v>4</v>
      </c>
      <c r="Y4" s="71"/>
      <c r="Z4" s="71">
        <f>人物卡!H46</f>
        <v>0</v>
      </c>
      <c r="AA4" s="71"/>
      <c r="AB4" s="71"/>
      <c r="AC4" s="71"/>
      <c r="AD4" s="71"/>
      <c r="AE4" s="71"/>
      <c r="AF4" s="79"/>
      <c r="AG4" s="79"/>
      <c r="AH4" s="79"/>
      <c r="AI4" s="79"/>
      <c r="AJ4" s="79"/>
      <c r="AK4" s="87"/>
    </row>
    <row r="5" customHeight="1" spans="2:37">
      <c r="B5" s="69"/>
      <c r="C5" s="70"/>
      <c r="D5" s="6" t="s">
        <v>142</v>
      </c>
      <c r="E5" s="6"/>
      <c r="F5" s="72" t="s">
        <v>109</v>
      </c>
      <c r="G5" s="72"/>
      <c r="H5" s="72" t="s">
        <v>105</v>
      </c>
      <c r="I5" s="72"/>
      <c r="J5" s="72" t="s">
        <v>41</v>
      </c>
      <c r="K5" s="72"/>
      <c r="L5" s="72" t="s">
        <v>41</v>
      </c>
      <c r="M5" s="72"/>
      <c r="N5" s="72" t="s">
        <v>41</v>
      </c>
      <c r="O5" s="72"/>
      <c r="P5" s="72" t="s">
        <v>41</v>
      </c>
      <c r="Q5" s="72"/>
      <c r="R5" s="72" t="s">
        <v>41</v>
      </c>
      <c r="S5" s="72"/>
      <c r="T5" s="83"/>
      <c r="U5" s="70"/>
      <c r="V5" s="6" t="s">
        <v>142</v>
      </c>
      <c r="W5" s="6"/>
      <c r="X5" s="72" t="s">
        <v>260</v>
      </c>
      <c r="Y5" s="72"/>
      <c r="Z5" s="72" t="s">
        <v>261</v>
      </c>
      <c r="AA5" s="72"/>
      <c r="AB5" s="72" t="s">
        <v>41</v>
      </c>
      <c r="AC5" s="72"/>
      <c r="AD5" s="72" t="s">
        <v>41</v>
      </c>
      <c r="AE5" s="72"/>
      <c r="AF5" s="72" t="s">
        <v>41</v>
      </c>
      <c r="AG5" s="72"/>
      <c r="AH5" s="72" t="s">
        <v>41</v>
      </c>
      <c r="AI5" s="72"/>
      <c r="AJ5" s="72" t="s">
        <v>41</v>
      </c>
      <c r="AK5" s="88"/>
    </row>
    <row r="6" customHeight="1" spans="2:37">
      <c r="B6" s="73"/>
      <c r="C6" s="74"/>
      <c r="D6" s="75">
        <f>SUM(F6:S6)</f>
        <v>0</v>
      </c>
      <c r="E6" s="75"/>
      <c r="F6" s="75">
        <f>人物卡!I21</f>
        <v>0</v>
      </c>
      <c r="G6" s="75"/>
      <c r="H6" s="75">
        <f>人物卡!I24</f>
        <v>0</v>
      </c>
      <c r="I6" s="75"/>
      <c r="J6" s="75"/>
      <c r="K6" s="75"/>
      <c r="L6" s="75"/>
      <c r="M6" s="75"/>
      <c r="N6" s="80"/>
      <c r="O6" s="80"/>
      <c r="P6" s="80"/>
      <c r="Q6" s="80"/>
      <c r="R6" s="80"/>
      <c r="S6" s="80"/>
      <c r="T6" s="84"/>
      <c r="U6" s="74"/>
      <c r="V6" s="75">
        <f>SUM(X6:AK6)</f>
        <v>0</v>
      </c>
      <c r="W6" s="75"/>
      <c r="X6" s="75">
        <f>人物卡!I19</f>
        <v>0</v>
      </c>
      <c r="Y6" s="75"/>
      <c r="Z6" s="75">
        <f>人物卡!J46</f>
        <v>0</v>
      </c>
      <c r="AA6" s="75"/>
      <c r="AB6" s="75"/>
      <c r="AC6" s="75"/>
      <c r="AD6" s="75"/>
      <c r="AE6" s="75"/>
      <c r="AF6" s="80"/>
      <c r="AG6" s="80"/>
      <c r="AH6" s="80"/>
      <c r="AI6" s="80"/>
      <c r="AJ6" s="80"/>
      <c r="AK6" s="89"/>
    </row>
    <row r="7" customHeight="1" spans="2:37">
      <c r="B7" s="69" t="s">
        <v>262</v>
      </c>
      <c r="C7" s="70"/>
      <c r="D7" s="6" t="s">
        <v>101</v>
      </c>
      <c r="E7" s="6"/>
      <c r="F7" s="72" t="s">
        <v>58</v>
      </c>
      <c r="G7" s="72"/>
      <c r="H7" s="72" t="s">
        <v>86</v>
      </c>
      <c r="I7" s="72"/>
      <c r="J7" s="72" t="s">
        <v>72</v>
      </c>
      <c r="K7" s="72"/>
      <c r="L7" s="72" t="s">
        <v>41</v>
      </c>
      <c r="M7" s="72"/>
      <c r="N7" s="72" t="s">
        <v>41</v>
      </c>
      <c r="O7" s="72"/>
      <c r="P7" s="72" t="s">
        <v>41</v>
      </c>
      <c r="Q7" s="72"/>
      <c r="R7" s="72" t="s">
        <v>41</v>
      </c>
      <c r="S7" s="72"/>
      <c r="T7" s="83" t="s">
        <v>263</v>
      </c>
      <c r="U7" s="70"/>
      <c r="V7" s="6" t="s">
        <v>101</v>
      </c>
      <c r="W7" s="6"/>
      <c r="X7" s="72" t="s">
        <v>49</v>
      </c>
      <c r="Y7" s="72"/>
      <c r="Z7" s="72" t="s">
        <v>87</v>
      </c>
      <c r="AA7" s="72"/>
      <c r="AB7" s="72" t="s">
        <v>72</v>
      </c>
      <c r="AC7" s="72"/>
      <c r="AD7" s="72" t="s">
        <v>41</v>
      </c>
      <c r="AE7" s="72"/>
      <c r="AF7" s="72" t="s">
        <v>41</v>
      </c>
      <c r="AG7" s="72"/>
      <c r="AH7" s="72" t="s">
        <v>41</v>
      </c>
      <c r="AI7" s="72"/>
      <c r="AJ7" s="72" t="s">
        <v>41</v>
      </c>
      <c r="AK7" s="88"/>
    </row>
    <row r="8" customHeight="1" spans="2:37">
      <c r="B8" s="69"/>
      <c r="C8" s="70"/>
      <c r="D8" s="71">
        <f>SUM(F8:S8)</f>
        <v>5</v>
      </c>
      <c r="E8" s="71"/>
      <c r="F8" s="71">
        <f>人物卡!G20</f>
        <v>5</v>
      </c>
      <c r="G8" s="71"/>
      <c r="H8" s="71">
        <f>人物卡!H48</f>
        <v>0</v>
      </c>
      <c r="I8" s="71"/>
      <c r="J8" s="71"/>
      <c r="K8" s="71"/>
      <c r="L8" s="71"/>
      <c r="M8" s="71"/>
      <c r="N8" s="79"/>
      <c r="O8" s="79"/>
      <c r="P8" s="79"/>
      <c r="Q8" s="79"/>
      <c r="R8" s="79"/>
      <c r="S8" s="79"/>
      <c r="T8" s="83"/>
      <c r="U8" s="70"/>
      <c r="V8" s="71">
        <f>SUM(X8:AK8)</f>
        <v>3</v>
      </c>
      <c r="W8" s="71"/>
      <c r="X8" s="71">
        <f>人物卡!G17</f>
        <v>3</v>
      </c>
      <c r="Y8" s="71"/>
      <c r="Z8" s="71">
        <f>人物卡!H50</f>
        <v>0</v>
      </c>
      <c r="AA8" s="71"/>
      <c r="AB8" s="71"/>
      <c r="AC8" s="71"/>
      <c r="AD8" s="71"/>
      <c r="AE8" s="71"/>
      <c r="AF8" s="79"/>
      <c r="AG8" s="79"/>
      <c r="AH8" s="79"/>
      <c r="AI8" s="79"/>
      <c r="AJ8" s="79"/>
      <c r="AK8" s="87"/>
    </row>
    <row r="9" customHeight="1" spans="2:37">
      <c r="B9" s="69"/>
      <c r="C9" s="70"/>
      <c r="D9" s="6" t="s">
        <v>142</v>
      </c>
      <c r="E9" s="6"/>
      <c r="F9" s="72" t="s">
        <v>107</v>
      </c>
      <c r="G9" s="72"/>
      <c r="H9" s="72" t="s">
        <v>264</v>
      </c>
      <c r="I9" s="72"/>
      <c r="J9" s="72" t="s">
        <v>41</v>
      </c>
      <c r="K9" s="72"/>
      <c r="L9" s="72" t="s">
        <v>41</v>
      </c>
      <c r="M9" s="72"/>
      <c r="N9" s="72" t="s">
        <v>41</v>
      </c>
      <c r="O9" s="72"/>
      <c r="P9" s="72" t="s">
        <v>41</v>
      </c>
      <c r="Q9" s="72"/>
      <c r="R9" s="72" t="s">
        <v>41</v>
      </c>
      <c r="S9" s="72"/>
      <c r="T9" s="83"/>
      <c r="U9" s="70"/>
      <c r="V9" s="6" t="s">
        <v>142</v>
      </c>
      <c r="W9" s="6"/>
      <c r="X9" s="72" t="s">
        <v>124</v>
      </c>
      <c r="Y9" s="72"/>
      <c r="Z9" s="72" t="s">
        <v>265</v>
      </c>
      <c r="AA9" s="72"/>
      <c r="AB9" s="72" t="s">
        <v>41</v>
      </c>
      <c r="AC9" s="72"/>
      <c r="AD9" s="72" t="s">
        <v>41</v>
      </c>
      <c r="AE9" s="72"/>
      <c r="AF9" s="72" t="s">
        <v>41</v>
      </c>
      <c r="AG9" s="72"/>
      <c r="AH9" s="72" t="s">
        <v>41</v>
      </c>
      <c r="AI9" s="72"/>
      <c r="AJ9" s="72" t="s">
        <v>41</v>
      </c>
      <c r="AK9" s="88"/>
    </row>
    <row r="10" customHeight="1" spans="2:37">
      <c r="B10" s="69"/>
      <c r="C10" s="70"/>
      <c r="D10" s="71">
        <f>SUM(F10:S10)</f>
        <v>0</v>
      </c>
      <c r="E10" s="71"/>
      <c r="F10" s="71">
        <f>人物卡!I20</f>
        <v>0</v>
      </c>
      <c r="G10" s="71"/>
      <c r="H10" s="71">
        <f>人物卡!J48</f>
        <v>0</v>
      </c>
      <c r="I10" s="71"/>
      <c r="J10" s="71"/>
      <c r="K10" s="71"/>
      <c r="L10" s="71"/>
      <c r="M10" s="71"/>
      <c r="N10" s="79"/>
      <c r="O10" s="79"/>
      <c r="P10" s="79"/>
      <c r="Q10" s="79"/>
      <c r="R10" s="79"/>
      <c r="S10" s="79"/>
      <c r="T10" s="83"/>
      <c r="U10" s="70"/>
      <c r="V10" s="71">
        <f>SUM(X10:AK10)</f>
        <v>0</v>
      </c>
      <c r="W10" s="71"/>
      <c r="X10" s="71">
        <f>人物卡!I17</f>
        <v>0</v>
      </c>
      <c r="Y10" s="71"/>
      <c r="Z10" s="71">
        <f>人物卡!J50</f>
        <v>0</v>
      </c>
      <c r="AA10" s="71"/>
      <c r="AB10" s="71"/>
      <c r="AC10" s="71"/>
      <c r="AD10" s="71"/>
      <c r="AE10" s="71"/>
      <c r="AF10" s="79"/>
      <c r="AG10" s="79"/>
      <c r="AH10" s="79"/>
      <c r="AI10" s="79"/>
      <c r="AJ10" s="79"/>
      <c r="AK10" s="87"/>
    </row>
    <row r="11" customHeight="1" spans="2:37">
      <c r="B11" s="65" t="s">
        <v>266</v>
      </c>
      <c r="C11" s="66"/>
      <c r="D11" s="67" t="s">
        <v>101</v>
      </c>
      <c r="E11" s="67"/>
      <c r="F11" s="68" t="s">
        <v>55</v>
      </c>
      <c r="G11" s="68"/>
      <c r="H11" s="68" t="s">
        <v>86</v>
      </c>
      <c r="I11" s="68"/>
      <c r="J11" s="68" t="s">
        <v>72</v>
      </c>
      <c r="K11" s="68"/>
      <c r="L11" s="68" t="s">
        <v>41</v>
      </c>
      <c r="M11" s="68"/>
      <c r="N11" s="68" t="s">
        <v>41</v>
      </c>
      <c r="O11" s="68"/>
      <c r="P11" s="68" t="s">
        <v>41</v>
      </c>
      <c r="Q11" s="68"/>
      <c r="R11" s="68" t="s">
        <v>41</v>
      </c>
      <c r="S11" s="68"/>
      <c r="T11" s="82" t="s">
        <v>267</v>
      </c>
      <c r="U11" s="66"/>
      <c r="V11" s="67" t="s">
        <v>101</v>
      </c>
      <c r="W11" s="67"/>
      <c r="X11" s="68" t="s">
        <v>55</v>
      </c>
      <c r="Y11" s="68"/>
      <c r="Z11" s="68" t="s">
        <v>87</v>
      </c>
      <c r="AA11" s="68"/>
      <c r="AB11" s="68" t="s">
        <v>72</v>
      </c>
      <c r="AC11" s="68"/>
      <c r="AD11" s="68" t="s">
        <v>41</v>
      </c>
      <c r="AE11" s="68"/>
      <c r="AF11" s="68" t="s">
        <v>41</v>
      </c>
      <c r="AG11" s="68"/>
      <c r="AH11" s="68" t="s">
        <v>41</v>
      </c>
      <c r="AI11" s="68"/>
      <c r="AJ11" s="68" t="s">
        <v>41</v>
      </c>
      <c r="AK11" s="86"/>
    </row>
    <row r="12" customHeight="1" spans="2:37">
      <c r="B12" s="69"/>
      <c r="C12" s="70"/>
      <c r="D12" s="71">
        <f>SUM(F12:S12)</f>
        <v>4</v>
      </c>
      <c r="E12" s="71"/>
      <c r="F12" s="71">
        <f>人物卡!G19</f>
        <v>4</v>
      </c>
      <c r="G12" s="71"/>
      <c r="H12" s="71">
        <f>人物卡!H48</f>
        <v>0</v>
      </c>
      <c r="I12" s="71"/>
      <c r="J12" s="71"/>
      <c r="K12" s="71"/>
      <c r="L12" s="71"/>
      <c r="M12" s="71"/>
      <c r="N12" s="79"/>
      <c r="O12" s="79"/>
      <c r="P12" s="79"/>
      <c r="Q12" s="79"/>
      <c r="R12" s="79"/>
      <c r="S12" s="79"/>
      <c r="T12" s="83"/>
      <c r="U12" s="70"/>
      <c r="V12" s="71">
        <f>SUM(X12:AK12)</f>
        <v>4</v>
      </c>
      <c r="W12" s="71"/>
      <c r="X12" s="71">
        <f>人物卡!G19</f>
        <v>4</v>
      </c>
      <c r="Y12" s="71"/>
      <c r="Z12" s="71">
        <f>人物卡!H50</f>
        <v>0</v>
      </c>
      <c r="AA12" s="71"/>
      <c r="AB12" s="71"/>
      <c r="AC12" s="71"/>
      <c r="AD12" s="71"/>
      <c r="AE12" s="71"/>
      <c r="AF12" s="79"/>
      <c r="AG12" s="79"/>
      <c r="AH12" s="79"/>
      <c r="AI12" s="79"/>
      <c r="AJ12" s="79"/>
      <c r="AK12" s="87"/>
    </row>
    <row r="13" customHeight="1" spans="2:37">
      <c r="B13" s="69"/>
      <c r="C13" s="70"/>
      <c r="D13" s="6" t="s">
        <v>142</v>
      </c>
      <c r="E13" s="6"/>
      <c r="F13" s="72" t="s">
        <v>260</v>
      </c>
      <c r="G13" s="72"/>
      <c r="H13" s="72" t="s">
        <v>264</v>
      </c>
      <c r="I13" s="72"/>
      <c r="J13" s="72" t="s">
        <v>41</v>
      </c>
      <c r="K13" s="72"/>
      <c r="L13" s="72" t="s">
        <v>41</v>
      </c>
      <c r="M13" s="72"/>
      <c r="N13" s="72" t="s">
        <v>41</v>
      </c>
      <c r="O13" s="72"/>
      <c r="P13" s="72" t="s">
        <v>41</v>
      </c>
      <c r="Q13" s="72"/>
      <c r="R13" s="72" t="s">
        <v>41</v>
      </c>
      <c r="S13" s="72"/>
      <c r="T13" s="83"/>
      <c r="U13" s="70"/>
      <c r="V13" s="6" t="s">
        <v>142</v>
      </c>
      <c r="W13" s="6"/>
      <c r="X13" s="72" t="s">
        <v>260</v>
      </c>
      <c r="Y13" s="72"/>
      <c r="Z13" s="72" t="s">
        <v>265</v>
      </c>
      <c r="AA13" s="72"/>
      <c r="AB13" s="72" t="s">
        <v>41</v>
      </c>
      <c r="AC13" s="72"/>
      <c r="AD13" s="72" t="s">
        <v>41</v>
      </c>
      <c r="AE13" s="72"/>
      <c r="AF13" s="72" t="s">
        <v>41</v>
      </c>
      <c r="AG13" s="72"/>
      <c r="AH13" s="72" t="s">
        <v>41</v>
      </c>
      <c r="AI13" s="72"/>
      <c r="AJ13" s="72" t="s">
        <v>41</v>
      </c>
      <c r="AK13" s="88"/>
    </row>
    <row r="14" customHeight="1" spans="2:37">
      <c r="B14" s="73"/>
      <c r="C14" s="74"/>
      <c r="D14" s="75">
        <f>SUM(F14:S14)</f>
        <v>0</v>
      </c>
      <c r="E14" s="75"/>
      <c r="F14" s="75">
        <f>人物卡!I19</f>
        <v>0</v>
      </c>
      <c r="G14" s="75"/>
      <c r="H14" s="75">
        <f>人物卡!J48</f>
        <v>0</v>
      </c>
      <c r="I14" s="75"/>
      <c r="J14" s="75"/>
      <c r="K14" s="75"/>
      <c r="L14" s="75"/>
      <c r="M14" s="75"/>
      <c r="N14" s="80"/>
      <c r="O14" s="80"/>
      <c r="P14" s="80"/>
      <c r="Q14" s="80"/>
      <c r="R14" s="80"/>
      <c r="S14" s="80"/>
      <c r="T14" s="84"/>
      <c r="U14" s="74"/>
      <c r="V14" s="75">
        <f>SUM(X14:AK14)</f>
        <v>0</v>
      </c>
      <c r="W14" s="75"/>
      <c r="X14" s="75">
        <f>人物卡!I19</f>
        <v>0</v>
      </c>
      <c r="Y14" s="75"/>
      <c r="Z14" s="75">
        <f>人物卡!J50</f>
        <v>0</v>
      </c>
      <c r="AA14" s="75"/>
      <c r="AB14" s="75"/>
      <c r="AC14" s="75"/>
      <c r="AD14" s="75"/>
      <c r="AE14" s="75"/>
      <c r="AF14" s="80"/>
      <c r="AG14" s="80"/>
      <c r="AH14" s="80"/>
      <c r="AI14" s="80"/>
      <c r="AJ14" s="80"/>
      <c r="AK14" s="89"/>
    </row>
    <row r="15" customHeight="1" spans="2:37">
      <c r="B15" s="69" t="s">
        <v>268</v>
      </c>
      <c r="C15" s="70"/>
      <c r="D15" s="6" t="s">
        <v>101</v>
      </c>
      <c r="E15" s="6"/>
      <c r="F15" s="72" t="s">
        <v>58</v>
      </c>
      <c r="G15" s="72"/>
      <c r="H15" s="72" t="s">
        <v>86</v>
      </c>
      <c r="I15" s="72"/>
      <c r="J15" s="72" t="s">
        <v>72</v>
      </c>
      <c r="K15" s="72"/>
      <c r="L15" s="72" t="s">
        <v>41</v>
      </c>
      <c r="M15" s="72"/>
      <c r="N15" s="72" t="s">
        <v>41</v>
      </c>
      <c r="O15" s="72"/>
      <c r="P15" s="72" t="s">
        <v>41</v>
      </c>
      <c r="Q15" s="72"/>
      <c r="R15" s="72" t="s">
        <v>41</v>
      </c>
      <c r="S15" s="72"/>
      <c r="T15" s="83" t="s">
        <v>269</v>
      </c>
      <c r="U15" s="70"/>
      <c r="V15" s="6" t="s">
        <v>101</v>
      </c>
      <c r="W15" s="6"/>
      <c r="X15" s="72" t="s">
        <v>55</v>
      </c>
      <c r="Y15" s="72"/>
      <c r="Z15" s="72" t="s">
        <v>87</v>
      </c>
      <c r="AA15" s="72"/>
      <c r="AB15" s="72" t="s">
        <v>72</v>
      </c>
      <c r="AC15" s="72"/>
      <c r="AD15" s="72" t="s">
        <v>41</v>
      </c>
      <c r="AE15" s="72"/>
      <c r="AF15" s="72" t="s">
        <v>41</v>
      </c>
      <c r="AG15" s="72"/>
      <c r="AH15" s="72" t="s">
        <v>41</v>
      </c>
      <c r="AI15" s="72"/>
      <c r="AJ15" s="72" t="s">
        <v>41</v>
      </c>
      <c r="AK15" s="88"/>
    </row>
    <row r="16" customHeight="1" spans="2:37">
      <c r="B16" s="69"/>
      <c r="C16" s="70"/>
      <c r="D16" s="71">
        <f>SUM(F16:S16)</f>
        <v>5</v>
      </c>
      <c r="E16" s="71"/>
      <c r="F16" s="71">
        <f>人物卡!G20</f>
        <v>5</v>
      </c>
      <c r="G16" s="71"/>
      <c r="H16" s="71">
        <f>人物卡!H48</f>
        <v>0</v>
      </c>
      <c r="I16" s="71"/>
      <c r="J16" s="71"/>
      <c r="K16" s="71"/>
      <c r="L16" s="71"/>
      <c r="M16" s="71"/>
      <c r="N16" s="79"/>
      <c r="O16" s="79"/>
      <c r="P16" s="79"/>
      <c r="Q16" s="79"/>
      <c r="R16" s="79"/>
      <c r="S16" s="79"/>
      <c r="T16" s="83"/>
      <c r="U16" s="70"/>
      <c r="V16" s="71">
        <f>SUM(X16:AK16)</f>
        <v>4</v>
      </c>
      <c r="W16" s="71"/>
      <c r="X16" s="71">
        <f>人物卡!G19</f>
        <v>4</v>
      </c>
      <c r="Y16" s="71"/>
      <c r="Z16" s="71">
        <f>人物卡!H50</f>
        <v>0</v>
      </c>
      <c r="AA16" s="71"/>
      <c r="AB16" s="71"/>
      <c r="AC16" s="71"/>
      <c r="AD16" s="71"/>
      <c r="AE16" s="71"/>
      <c r="AF16" s="79"/>
      <c r="AG16" s="79"/>
      <c r="AH16" s="79"/>
      <c r="AI16" s="79"/>
      <c r="AJ16" s="79"/>
      <c r="AK16" s="87"/>
    </row>
    <row r="17" customHeight="1" spans="2:37">
      <c r="B17" s="69"/>
      <c r="C17" s="70"/>
      <c r="D17" s="6" t="s">
        <v>142</v>
      </c>
      <c r="E17" s="6"/>
      <c r="F17" s="72" t="s">
        <v>107</v>
      </c>
      <c r="G17" s="72"/>
      <c r="H17" s="72" t="s">
        <v>264</v>
      </c>
      <c r="I17" s="72"/>
      <c r="J17" s="72" t="s">
        <v>41</v>
      </c>
      <c r="K17" s="72"/>
      <c r="L17" s="72" t="s">
        <v>41</v>
      </c>
      <c r="M17" s="72"/>
      <c r="N17" s="72" t="s">
        <v>41</v>
      </c>
      <c r="O17" s="72"/>
      <c r="P17" s="72" t="s">
        <v>41</v>
      </c>
      <c r="Q17" s="72"/>
      <c r="R17" s="72" t="s">
        <v>41</v>
      </c>
      <c r="S17" s="72"/>
      <c r="T17" s="83"/>
      <c r="U17" s="70"/>
      <c r="V17" s="6" t="s">
        <v>142</v>
      </c>
      <c r="W17" s="6"/>
      <c r="X17" s="72" t="s">
        <v>260</v>
      </c>
      <c r="Y17" s="72"/>
      <c r="Z17" s="72" t="s">
        <v>265</v>
      </c>
      <c r="AA17" s="72"/>
      <c r="AB17" s="72" t="s">
        <v>41</v>
      </c>
      <c r="AC17" s="72"/>
      <c r="AD17" s="72" t="s">
        <v>41</v>
      </c>
      <c r="AE17" s="72"/>
      <c r="AF17" s="72" t="s">
        <v>41</v>
      </c>
      <c r="AG17" s="72"/>
      <c r="AH17" s="72" t="s">
        <v>41</v>
      </c>
      <c r="AI17" s="72"/>
      <c r="AJ17" s="72" t="s">
        <v>41</v>
      </c>
      <c r="AK17" s="88"/>
    </row>
    <row r="18" customHeight="1" spans="2:37">
      <c r="B18" s="69"/>
      <c r="C18" s="70"/>
      <c r="D18" s="71">
        <f>SUM(F18:S18)</f>
        <v>0</v>
      </c>
      <c r="E18" s="71"/>
      <c r="F18" s="71">
        <f>人物卡!I20</f>
        <v>0</v>
      </c>
      <c r="G18" s="71"/>
      <c r="H18" s="71">
        <f>人物卡!J48</f>
        <v>0</v>
      </c>
      <c r="I18" s="71"/>
      <c r="J18" s="71"/>
      <c r="K18" s="71"/>
      <c r="L18" s="71"/>
      <c r="M18" s="71"/>
      <c r="N18" s="79"/>
      <c r="O18" s="79"/>
      <c r="P18" s="79"/>
      <c r="Q18" s="79"/>
      <c r="R18" s="79"/>
      <c r="S18" s="79"/>
      <c r="T18" s="83"/>
      <c r="U18" s="70"/>
      <c r="V18" s="71">
        <f>SUM(X18:AK18)</f>
        <v>0</v>
      </c>
      <c r="W18" s="71"/>
      <c r="X18" s="71">
        <f>人物卡!I19</f>
        <v>0</v>
      </c>
      <c r="Y18" s="71"/>
      <c r="Z18" s="71">
        <f>人物卡!J50</f>
        <v>0</v>
      </c>
      <c r="AA18" s="71"/>
      <c r="AB18" s="71"/>
      <c r="AC18" s="71"/>
      <c r="AD18" s="71"/>
      <c r="AE18" s="71"/>
      <c r="AF18" s="79"/>
      <c r="AG18" s="79"/>
      <c r="AH18" s="79"/>
      <c r="AI18" s="79"/>
      <c r="AJ18" s="79"/>
      <c r="AK18" s="87"/>
    </row>
    <row r="19" customHeight="1" spans="2:37">
      <c r="B19" s="65" t="s">
        <v>270</v>
      </c>
      <c r="C19" s="66"/>
      <c r="D19" s="67" t="s">
        <v>101</v>
      </c>
      <c r="E19" s="67"/>
      <c r="F19" s="68" t="s">
        <v>49</v>
      </c>
      <c r="G19" s="68"/>
      <c r="H19" s="68" t="s">
        <v>80</v>
      </c>
      <c r="I19" s="68"/>
      <c r="J19" s="68" t="s">
        <v>72</v>
      </c>
      <c r="K19" s="68"/>
      <c r="L19" s="68" t="s">
        <v>41</v>
      </c>
      <c r="M19" s="68"/>
      <c r="N19" s="68" t="s">
        <v>41</v>
      </c>
      <c r="O19" s="68"/>
      <c r="P19" s="68" t="s">
        <v>41</v>
      </c>
      <c r="Q19" s="68"/>
      <c r="R19" s="68" t="s">
        <v>41</v>
      </c>
      <c r="S19" s="68"/>
      <c r="T19" s="82" t="s">
        <v>271</v>
      </c>
      <c r="U19" s="66"/>
      <c r="V19" s="67" t="s">
        <v>101</v>
      </c>
      <c r="W19" s="67"/>
      <c r="X19" s="68" t="s">
        <v>55</v>
      </c>
      <c r="Y19" s="68"/>
      <c r="Z19" s="68" t="s">
        <v>88</v>
      </c>
      <c r="AA19" s="68"/>
      <c r="AB19" s="68" t="s">
        <v>72</v>
      </c>
      <c r="AC19" s="68"/>
      <c r="AD19" s="68" t="s">
        <v>41</v>
      </c>
      <c r="AE19" s="68"/>
      <c r="AF19" s="68" t="s">
        <v>41</v>
      </c>
      <c r="AG19" s="68"/>
      <c r="AH19" s="68" t="s">
        <v>41</v>
      </c>
      <c r="AI19" s="68"/>
      <c r="AJ19" s="68" t="s">
        <v>41</v>
      </c>
      <c r="AK19" s="86"/>
    </row>
    <row r="20" customHeight="1" spans="2:37">
      <c r="B20" s="69"/>
      <c r="C20" s="70"/>
      <c r="D20" s="71">
        <f>SUM(F20:S20)</f>
        <v>4</v>
      </c>
      <c r="E20" s="71"/>
      <c r="F20" s="71">
        <f>人物卡!G17</f>
        <v>3</v>
      </c>
      <c r="G20" s="71"/>
      <c r="H20" s="71">
        <f>人物卡!H38</f>
        <v>1</v>
      </c>
      <c r="I20" s="71"/>
      <c r="J20" s="71"/>
      <c r="K20" s="71"/>
      <c r="L20" s="71"/>
      <c r="M20" s="71"/>
      <c r="N20" s="79"/>
      <c r="O20" s="79"/>
      <c r="P20" s="79"/>
      <c r="Q20" s="79"/>
      <c r="R20" s="79"/>
      <c r="S20" s="79"/>
      <c r="T20" s="83"/>
      <c r="U20" s="70"/>
      <c r="V20" s="71">
        <f>SUM(X20:AK20)</f>
        <v>8</v>
      </c>
      <c r="W20" s="71"/>
      <c r="X20" s="71">
        <f>人物卡!G19</f>
        <v>4</v>
      </c>
      <c r="Y20" s="71"/>
      <c r="Z20" s="71">
        <f>人物卡!H52</f>
        <v>4</v>
      </c>
      <c r="AA20" s="71"/>
      <c r="AB20" s="71"/>
      <c r="AC20" s="71"/>
      <c r="AD20" s="71"/>
      <c r="AE20" s="71"/>
      <c r="AF20" s="79"/>
      <c r="AG20" s="79"/>
      <c r="AH20" s="79"/>
      <c r="AI20" s="79"/>
      <c r="AJ20" s="79"/>
      <c r="AK20" s="87"/>
    </row>
    <row r="21" customHeight="1" spans="2:37">
      <c r="B21" s="69"/>
      <c r="C21" s="70"/>
      <c r="D21" s="6" t="s">
        <v>142</v>
      </c>
      <c r="E21" s="6"/>
      <c r="F21" s="72" t="s">
        <v>124</v>
      </c>
      <c r="G21" s="72"/>
      <c r="H21" s="72" t="s">
        <v>272</v>
      </c>
      <c r="I21" s="72"/>
      <c r="J21" s="72" t="s">
        <v>41</v>
      </c>
      <c r="K21" s="72"/>
      <c r="L21" s="72" t="s">
        <v>41</v>
      </c>
      <c r="M21" s="72"/>
      <c r="N21" s="72" t="s">
        <v>41</v>
      </c>
      <c r="O21" s="72"/>
      <c r="P21" s="72" t="s">
        <v>41</v>
      </c>
      <c r="Q21" s="72"/>
      <c r="R21" s="72" t="s">
        <v>41</v>
      </c>
      <c r="S21" s="72"/>
      <c r="T21" s="83"/>
      <c r="U21" s="70"/>
      <c r="V21" s="6" t="s">
        <v>142</v>
      </c>
      <c r="W21" s="6"/>
      <c r="X21" s="72" t="s">
        <v>260</v>
      </c>
      <c r="Y21" s="72"/>
      <c r="Z21" s="72" t="s">
        <v>273</v>
      </c>
      <c r="AA21" s="72"/>
      <c r="AB21" s="72" t="s">
        <v>41</v>
      </c>
      <c r="AC21" s="72"/>
      <c r="AD21" s="72" t="s">
        <v>41</v>
      </c>
      <c r="AE21" s="72"/>
      <c r="AF21" s="72" t="s">
        <v>41</v>
      </c>
      <c r="AG21" s="72"/>
      <c r="AH21" s="72" t="s">
        <v>41</v>
      </c>
      <c r="AI21" s="72"/>
      <c r="AJ21" s="72" t="s">
        <v>41</v>
      </c>
      <c r="AK21" s="88"/>
    </row>
    <row r="22" customHeight="1" spans="2:37">
      <c r="B22" s="73"/>
      <c r="C22" s="74"/>
      <c r="D22" s="75">
        <f>SUM(F22:S22)</f>
        <v>0</v>
      </c>
      <c r="E22" s="75"/>
      <c r="F22" s="75">
        <f>人物卡!I17</f>
        <v>0</v>
      </c>
      <c r="G22" s="75"/>
      <c r="H22" s="75">
        <f>人物卡!J38</f>
        <v>0</v>
      </c>
      <c r="I22" s="75"/>
      <c r="J22" s="75"/>
      <c r="K22" s="75"/>
      <c r="L22" s="75"/>
      <c r="M22" s="75"/>
      <c r="N22" s="80"/>
      <c r="O22" s="80"/>
      <c r="P22" s="80"/>
      <c r="Q22" s="80"/>
      <c r="R22" s="80"/>
      <c r="S22" s="80"/>
      <c r="T22" s="84"/>
      <c r="U22" s="74"/>
      <c r="V22" s="75">
        <f>SUM(X22:AK22)</f>
        <v>0</v>
      </c>
      <c r="W22" s="75"/>
      <c r="X22" s="75">
        <f>人物卡!I19</f>
        <v>0</v>
      </c>
      <c r="Y22" s="75"/>
      <c r="Z22" s="75">
        <f>人物卡!J52</f>
        <v>0</v>
      </c>
      <c r="AA22" s="75"/>
      <c r="AB22" s="75"/>
      <c r="AC22" s="75"/>
      <c r="AD22" s="75"/>
      <c r="AE22" s="75"/>
      <c r="AF22" s="80"/>
      <c r="AG22" s="80"/>
      <c r="AH22" s="80"/>
      <c r="AI22" s="80"/>
      <c r="AJ22" s="80"/>
      <c r="AK22" s="89"/>
    </row>
    <row r="23" customHeight="1" spans="2:37">
      <c r="B23" s="69" t="s">
        <v>274</v>
      </c>
      <c r="C23" s="70"/>
      <c r="D23" s="6" t="s">
        <v>101</v>
      </c>
      <c r="E23" s="6"/>
      <c r="F23" s="72" t="s">
        <v>275</v>
      </c>
      <c r="G23" s="72"/>
      <c r="H23" s="72" t="s">
        <v>75</v>
      </c>
      <c r="I23" s="72"/>
      <c r="J23" s="72" t="s">
        <v>72</v>
      </c>
      <c r="K23" s="72"/>
      <c r="L23" s="72" t="s">
        <v>41</v>
      </c>
      <c r="M23" s="72"/>
      <c r="N23" s="72" t="s">
        <v>41</v>
      </c>
      <c r="O23" s="72"/>
      <c r="P23" s="72" t="s">
        <v>41</v>
      </c>
      <c r="Q23" s="72"/>
      <c r="R23" s="72" t="s">
        <v>41</v>
      </c>
      <c r="S23" s="72"/>
      <c r="T23" s="83" t="s">
        <v>276</v>
      </c>
      <c r="U23" s="70"/>
      <c r="V23" s="6" t="s">
        <v>101</v>
      </c>
      <c r="W23" s="6"/>
      <c r="X23" s="72" t="s">
        <v>63</v>
      </c>
      <c r="Y23" s="72"/>
      <c r="Z23" s="72" t="s">
        <v>94</v>
      </c>
      <c r="AA23" s="72"/>
      <c r="AB23" s="72" t="s">
        <v>72</v>
      </c>
      <c r="AC23" s="72"/>
      <c r="AD23" s="72" t="s">
        <v>41</v>
      </c>
      <c r="AE23" s="72"/>
      <c r="AF23" s="72" t="s">
        <v>41</v>
      </c>
      <c r="AG23" s="72"/>
      <c r="AH23" s="72" t="s">
        <v>41</v>
      </c>
      <c r="AI23" s="72"/>
      <c r="AJ23" s="72" t="s">
        <v>41</v>
      </c>
      <c r="AK23" s="88"/>
    </row>
    <row r="24" customHeight="1" spans="2:37">
      <c r="B24" s="69"/>
      <c r="C24" s="70"/>
      <c r="D24" s="71">
        <f>SUM(F24:S24)</f>
        <v>5</v>
      </c>
      <c r="E24" s="71"/>
      <c r="F24" s="71">
        <f>MAX(人物卡!G16,人物卡!G17)</f>
        <v>3</v>
      </c>
      <c r="G24" s="71"/>
      <c r="H24" s="71">
        <f>人物卡!H28</f>
        <v>2</v>
      </c>
      <c r="I24" s="71"/>
      <c r="J24" s="71"/>
      <c r="K24" s="71"/>
      <c r="L24" s="71"/>
      <c r="M24" s="71"/>
      <c r="N24" s="79"/>
      <c r="O24" s="79"/>
      <c r="P24" s="79"/>
      <c r="Q24" s="79"/>
      <c r="R24" s="79"/>
      <c r="S24" s="79"/>
      <c r="T24" s="83"/>
      <c r="U24" s="70"/>
      <c r="V24" s="71">
        <f>SUM(X24:AK24)</f>
        <v>2</v>
      </c>
      <c r="W24" s="71"/>
      <c r="X24" s="71">
        <f>人物卡!G23</f>
        <v>2</v>
      </c>
      <c r="Y24" s="71"/>
      <c r="Z24" s="71">
        <f>人物卡!H64</f>
        <v>0</v>
      </c>
      <c r="AA24" s="71"/>
      <c r="AB24" s="71"/>
      <c r="AC24" s="71"/>
      <c r="AD24" s="71"/>
      <c r="AE24" s="71"/>
      <c r="AF24" s="79"/>
      <c r="AG24" s="79"/>
      <c r="AH24" s="79"/>
      <c r="AI24" s="79"/>
      <c r="AJ24" s="79"/>
      <c r="AK24" s="87"/>
    </row>
    <row r="25" customHeight="1" spans="2:37">
      <c r="B25" s="69"/>
      <c r="C25" s="70"/>
      <c r="D25" s="6" t="s">
        <v>142</v>
      </c>
      <c r="E25" s="6"/>
      <c r="F25" s="72" t="s">
        <v>277</v>
      </c>
      <c r="G25" s="72"/>
      <c r="H25" s="72" t="s">
        <v>145</v>
      </c>
      <c r="I25" s="72"/>
      <c r="J25" s="72" t="s">
        <v>41</v>
      </c>
      <c r="K25" s="72"/>
      <c r="L25" s="72" t="s">
        <v>41</v>
      </c>
      <c r="M25" s="72"/>
      <c r="N25" s="72" t="s">
        <v>41</v>
      </c>
      <c r="O25" s="72"/>
      <c r="P25" s="72" t="s">
        <v>41</v>
      </c>
      <c r="Q25" s="72"/>
      <c r="R25" s="72" t="s">
        <v>41</v>
      </c>
      <c r="S25" s="72"/>
      <c r="T25" s="83"/>
      <c r="U25" s="70"/>
      <c r="V25" s="6" t="s">
        <v>142</v>
      </c>
      <c r="W25" s="6"/>
      <c r="X25" s="72" t="s">
        <v>278</v>
      </c>
      <c r="Y25" s="72"/>
      <c r="Z25" s="72" t="s">
        <v>279</v>
      </c>
      <c r="AA25" s="72"/>
      <c r="AB25" s="72" t="s">
        <v>41</v>
      </c>
      <c r="AC25" s="72"/>
      <c r="AD25" s="72" t="s">
        <v>41</v>
      </c>
      <c r="AE25" s="72"/>
      <c r="AF25" s="72" t="s">
        <v>41</v>
      </c>
      <c r="AG25" s="72"/>
      <c r="AH25" s="72" t="s">
        <v>41</v>
      </c>
      <c r="AI25" s="72"/>
      <c r="AJ25" s="72" t="s">
        <v>41</v>
      </c>
      <c r="AK25" s="88"/>
    </row>
    <row r="26" customHeight="1" spans="2:37">
      <c r="B26" s="69"/>
      <c r="C26" s="70"/>
      <c r="D26" s="71">
        <f>SUM(F26:S26)</f>
        <v>0</v>
      </c>
      <c r="E26" s="71"/>
      <c r="F26" s="71">
        <f>MAX(人物卡!I16,人物卡!I17)</f>
        <v>0</v>
      </c>
      <c r="G26" s="71"/>
      <c r="H26" s="71">
        <f>人物卡!J28</f>
        <v>0</v>
      </c>
      <c r="I26" s="71"/>
      <c r="J26" s="71"/>
      <c r="K26" s="71"/>
      <c r="L26" s="71"/>
      <c r="M26" s="71"/>
      <c r="N26" s="79"/>
      <c r="O26" s="79"/>
      <c r="P26" s="79"/>
      <c r="Q26" s="79"/>
      <c r="R26" s="79"/>
      <c r="S26" s="79"/>
      <c r="T26" s="83"/>
      <c r="U26" s="70"/>
      <c r="V26" s="71">
        <f>SUM(X26:AK26)</f>
        <v>0</v>
      </c>
      <c r="W26" s="71"/>
      <c r="X26" s="71">
        <f>人物卡!I23</f>
        <v>0</v>
      </c>
      <c r="Y26" s="71"/>
      <c r="Z26" s="71">
        <f>人物卡!J64</f>
        <v>0</v>
      </c>
      <c r="AA26" s="71"/>
      <c r="AB26" s="71"/>
      <c r="AC26" s="71"/>
      <c r="AD26" s="71"/>
      <c r="AE26" s="71"/>
      <c r="AF26" s="79"/>
      <c r="AG26" s="79"/>
      <c r="AH26" s="79"/>
      <c r="AI26" s="79"/>
      <c r="AJ26" s="79"/>
      <c r="AK26" s="87"/>
    </row>
    <row r="27" customHeight="1" spans="2:37">
      <c r="B27" s="65" t="s">
        <v>280</v>
      </c>
      <c r="C27" s="66"/>
      <c r="D27" s="67" t="s">
        <v>101</v>
      </c>
      <c r="E27" s="67"/>
      <c r="F27" s="68" t="s">
        <v>49</v>
      </c>
      <c r="G27" s="68"/>
      <c r="H27" s="68" t="s">
        <v>75</v>
      </c>
      <c r="I27" s="68"/>
      <c r="J27" s="68" t="s">
        <v>72</v>
      </c>
      <c r="K27" s="68"/>
      <c r="L27" s="68" t="s">
        <v>41</v>
      </c>
      <c r="M27" s="68"/>
      <c r="N27" s="68" t="s">
        <v>41</v>
      </c>
      <c r="O27" s="68"/>
      <c r="P27" s="68" t="s">
        <v>41</v>
      </c>
      <c r="Q27" s="68"/>
      <c r="R27" s="68" t="s">
        <v>41</v>
      </c>
      <c r="S27" s="68"/>
      <c r="T27" s="82" t="s">
        <v>281</v>
      </c>
      <c r="U27" s="66"/>
      <c r="V27" s="67" t="s">
        <v>101</v>
      </c>
      <c r="W27" s="67"/>
      <c r="X27" s="68" t="s">
        <v>63</v>
      </c>
      <c r="Y27" s="68"/>
      <c r="Z27" s="68" t="s">
        <v>95</v>
      </c>
      <c r="AA27" s="68"/>
      <c r="AB27" s="68" t="s">
        <v>72</v>
      </c>
      <c r="AC27" s="68"/>
      <c r="AD27" s="68" t="s">
        <v>41</v>
      </c>
      <c r="AE27" s="68"/>
      <c r="AF27" s="68" t="s">
        <v>41</v>
      </c>
      <c r="AG27" s="68"/>
      <c r="AH27" s="68" t="s">
        <v>41</v>
      </c>
      <c r="AI27" s="68"/>
      <c r="AJ27" s="68" t="s">
        <v>41</v>
      </c>
      <c r="AK27" s="86"/>
    </row>
    <row r="28" customHeight="1" spans="2:37">
      <c r="B28" s="69"/>
      <c r="C28" s="70"/>
      <c r="D28" s="71">
        <f>SUM(F28:S28)</f>
        <v>5</v>
      </c>
      <c r="E28" s="71"/>
      <c r="F28" s="71">
        <f>人物卡!G17</f>
        <v>3</v>
      </c>
      <c r="G28" s="71"/>
      <c r="H28" s="71">
        <f>人物卡!H28</f>
        <v>2</v>
      </c>
      <c r="I28" s="71"/>
      <c r="J28" s="71"/>
      <c r="K28" s="71"/>
      <c r="L28" s="71"/>
      <c r="M28" s="71"/>
      <c r="N28" s="79"/>
      <c r="O28" s="79"/>
      <c r="P28" s="79"/>
      <c r="Q28" s="79"/>
      <c r="R28" s="79"/>
      <c r="S28" s="79"/>
      <c r="T28" s="83"/>
      <c r="U28" s="70"/>
      <c r="V28" s="71">
        <f>SUM(X28:AK28)</f>
        <v>4</v>
      </c>
      <c r="W28" s="71"/>
      <c r="X28" s="71">
        <f>人物卡!G23</f>
        <v>2</v>
      </c>
      <c r="Y28" s="71"/>
      <c r="Z28" s="71">
        <f>人物卡!H66</f>
        <v>2</v>
      </c>
      <c r="AA28" s="71"/>
      <c r="AB28" s="71"/>
      <c r="AC28" s="71"/>
      <c r="AD28" s="71"/>
      <c r="AE28" s="71"/>
      <c r="AF28" s="79"/>
      <c r="AG28" s="79"/>
      <c r="AH28" s="79"/>
      <c r="AI28" s="79"/>
      <c r="AJ28" s="79"/>
      <c r="AK28" s="87"/>
    </row>
    <row r="29" customHeight="1" spans="2:37">
      <c r="B29" s="69"/>
      <c r="C29" s="70"/>
      <c r="D29" s="6" t="s">
        <v>142</v>
      </c>
      <c r="E29" s="6"/>
      <c r="F29" s="72" t="s">
        <v>124</v>
      </c>
      <c r="G29" s="72"/>
      <c r="H29" s="72" t="s">
        <v>145</v>
      </c>
      <c r="I29" s="72"/>
      <c r="J29" s="72" t="s">
        <v>41</v>
      </c>
      <c r="K29" s="72"/>
      <c r="L29" s="72" t="s">
        <v>41</v>
      </c>
      <c r="M29" s="72"/>
      <c r="N29" s="72" t="s">
        <v>41</v>
      </c>
      <c r="O29" s="72"/>
      <c r="P29" s="72" t="s">
        <v>41</v>
      </c>
      <c r="Q29" s="72"/>
      <c r="R29" s="72" t="s">
        <v>41</v>
      </c>
      <c r="S29" s="72"/>
      <c r="T29" s="83"/>
      <c r="U29" s="70"/>
      <c r="V29" s="6" t="s">
        <v>142</v>
      </c>
      <c r="W29" s="6"/>
      <c r="X29" s="72" t="s">
        <v>278</v>
      </c>
      <c r="Y29" s="72"/>
      <c r="Z29" s="72" t="s">
        <v>282</v>
      </c>
      <c r="AA29" s="72"/>
      <c r="AB29" s="72" t="s">
        <v>41</v>
      </c>
      <c r="AC29" s="72"/>
      <c r="AD29" s="72" t="s">
        <v>41</v>
      </c>
      <c r="AE29" s="72"/>
      <c r="AF29" s="72" t="s">
        <v>41</v>
      </c>
      <c r="AG29" s="72"/>
      <c r="AH29" s="72" t="s">
        <v>41</v>
      </c>
      <c r="AI29" s="72"/>
      <c r="AJ29" s="72" t="s">
        <v>41</v>
      </c>
      <c r="AK29" s="88"/>
    </row>
    <row r="30" customHeight="1" spans="2:37">
      <c r="B30" s="73"/>
      <c r="C30" s="74"/>
      <c r="D30" s="75">
        <f>SUM(F30:S30)</f>
        <v>0</v>
      </c>
      <c r="E30" s="75"/>
      <c r="F30" s="75">
        <f>人物卡!I17</f>
        <v>0</v>
      </c>
      <c r="G30" s="75"/>
      <c r="H30" s="75">
        <f>人物卡!J28</f>
        <v>0</v>
      </c>
      <c r="I30" s="75"/>
      <c r="J30" s="75"/>
      <c r="K30" s="75"/>
      <c r="L30" s="75"/>
      <c r="M30" s="75"/>
      <c r="N30" s="80"/>
      <c r="O30" s="80"/>
      <c r="P30" s="80"/>
      <c r="Q30" s="80"/>
      <c r="R30" s="80"/>
      <c r="S30" s="80"/>
      <c r="T30" s="84"/>
      <c r="U30" s="74"/>
      <c r="V30" s="75">
        <f>SUM(X30:AK30)</f>
        <v>0</v>
      </c>
      <c r="W30" s="75"/>
      <c r="X30" s="75">
        <f>人物卡!I23</f>
        <v>0</v>
      </c>
      <c r="Y30" s="75"/>
      <c r="Z30" s="75">
        <f>人物卡!J66</f>
        <v>0</v>
      </c>
      <c r="AA30" s="75"/>
      <c r="AB30" s="75"/>
      <c r="AC30" s="75"/>
      <c r="AD30" s="75"/>
      <c r="AE30" s="75"/>
      <c r="AF30" s="80"/>
      <c r="AG30" s="80"/>
      <c r="AH30" s="80"/>
      <c r="AI30" s="80"/>
      <c r="AJ30" s="80"/>
      <c r="AK30" s="89"/>
    </row>
    <row r="31" customHeight="1" spans="2:37">
      <c r="B31" s="69" t="s">
        <v>283</v>
      </c>
      <c r="C31" s="70"/>
      <c r="D31" s="6" t="s">
        <v>101</v>
      </c>
      <c r="E31" s="6"/>
      <c r="F31" s="72" t="s">
        <v>58</v>
      </c>
      <c r="G31" s="72"/>
      <c r="H31" s="72" t="s">
        <v>81</v>
      </c>
      <c r="I31" s="72"/>
      <c r="J31" s="72" t="s">
        <v>72</v>
      </c>
      <c r="K31" s="72"/>
      <c r="L31" s="72" t="s">
        <v>41</v>
      </c>
      <c r="M31" s="72"/>
      <c r="N31" s="72" t="s">
        <v>41</v>
      </c>
      <c r="O31" s="72"/>
      <c r="P31" s="72" t="s">
        <v>41</v>
      </c>
      <c r="Q31" s="72"/>
      <c r="R31" s="72" t="s">
        <v>41</v>
      </c>
      <c r="S31" s="72"/>
      <c r="T31" s="83" t="s">
        <v>284</v>
      </c>
      <c r="U31" s="70"/>
      <c r="V31" s="6" t="s">
        <v>101</v>
      </c>
      <c r="W31" s="6"/>
      <c r="X31" s="72" t="s">
        <v>63</v>
      </c>
      <c r="Y31" s="72"/>
      <c r="Z31" s="72" t="s">
        <v>96</v>
      </c>
      <c r="AA31" s="72"/>
      <c r="AB31" s="72" t="s">
        <v>72</v>
      </c>
      <c r="AC31" s="72"/>
      <c r="AD31" s="72" t="s">
        <v>41</v>
      </c>
      <c r="AE31" s="72"/>
      <c r="AF31" s="72" t="s">
        <v>41</v>
      </c>
      <c r="AG31" s="72"/>
      <c r="AH31" s="72" t="s">
        <v>41</v>
      </c>
      <c r="AI31" s="72"/>
      <c r="AJ31" s="72" t="s">
        <v>41</v>
      </c>
      <c r="AK31" s="88"/>
    </row>
    <row r="32" customHeight="1" spans="2:37">
      <c r="B32" s="69"/>
      <c r="C32" s="70"/>
      <c r="D32" s="71">
        <f>SUM(F32:S32)</f>
        <v>5</v>
      </c>
      <c r="E32" s="71"/>
      <c r="F32" s="71">
        <f>人物卡!G20</f>
        <v>5</v>
      </c>
      <c r="G32" s="71"/>
      <c r="H32" s="71">
        <f>人物卡!H40</f>
        <v>0</v>
      </c>
      <c r="I32" s="71"/>
      <c r="J32" s="71"/>
      <c r="K32" s="71"/>
      <c r="L32" s="71"/>
      <c r="M32" s="71"/>
      <c r="N32" s="79"/>
      <c r="O32" s="79"/>
      <c r="P32" s="79"/>
      <c r="Q32" s="79"/>
      <c r="R32" s="79"/>
      <c r="S32" s="79"/>
      <c r="T32" s="83"/>
      <c r="U32" s="70"/>
      <c r="V32" s="71">
        <f>SUM(X32:AK32)</f>
        <v>2</v>
      </c>
      <c r="W32" s="71"/>
      <c r="X32" s="71">
        <f>人物卡!G23</f>
        <v>2</v>
      </c>
      <c r="Y32" s="71"/>
      <c r="Z32" s="71">
        <f>人物卡!H68</f>
        <v>0</v>
      </c>
      <c r="AA32" s="71"/>
      <c r="AB32" s="71"/>
      <c r="AC32" s="71"/>
      <c r="AD32" s="71"/>
      <c r="AE32" s="71"/>
      <c r="AF32" s="79"/>
      <c r="AG32" s="79"/>
      <c r="AH32" s="79"/>
      <c r="AI32" s="79"/>
      <c r="AJ32" s="79"/>
      <c r="AK32" s="87"/>
    </row>
    <row r="33" customHeight="1" spans="2:37">
      <c r="B33" s="69"/>
      <c r="C33" s="70"/>
      <c r="D33" s="6" t="s">
        <v>142</v>
      </c>
      <c r="E33" s="6"/>
      <c r="F33" s="72" t="s">
        <v>107</v>
      </c>
      <c r="G33" s="72"/>
      <c r="H33" s="72" t="s">
        <v>147</v>
      </c>
      <c r="I33" s="72"/>
      <c r="J33" s="72" t="s">
        <v>41</v>
      </c>
      <c r="K33" s="72"/>
      <c r="L33" s="72" t="s">
        <v>41</v>
      </c>
      <c r="M33" s="72"/>
      <c r="N33" s="72" t="s">
        <v>41</v>
      </c>
      <c r="O33" s="72"/>
      <c r="P33" s="72" t="s">
        <v>41</v>
      </c>
      <c r="Q33" s="72"/>
      <c r="R33" s="72" t="s">
        <v>41</v>
      </c>
      <c r="S33" s="72"/>
      <c r="T33" s="83"/>
      <c r="U33" s="70"/>
      <c r="V33" s="6" t="s">
        <v>142</v>
      </c>
      <c r="W33" s="6"/>
      <c r="X33" s="72" t="s">
        <v>278</v>
      </c>
      <c r="Y33" s="72"/>
      <c r="Z33" s="72" t="s">
        <v>285</v>
      </c>
      <c r="AA33" s="72"/>
      <c r="AB33" s="72" t="s">
        <v>41</v>
      </c>
      <c r="AC33" s="72"/>
      <c r="AD33" s="72" t="s">
        <v>41</v>
      </c>
      <c r="AE33" s="72"/>
      <c r="AF33" s="72" t="s">
        <v>41</v>
      </c>
      <c r="AG33" s="72"/>
      <c r="AH33" s="72" t="s">
        <v>41</v>
      </c>
      <c r="AI33" s="72"/>
      <c r="AJ33" s="72" t="s">
        <v>41</v>
      </c>
      <c r="AK33" s="88"/>
    </row>
    <row r="34" customHeight="1" spans="2:37">
      <c r="B34" s="69"/>
      <c r="C34" s="70"/>
      <c r="D34" s="71">
        <f>SUM(F34:S34)</f>
        <v>0</v>
      </c>
      <c r="E34" s="71"/>
      <c r="F34" s="71">
        <f>人物卡!I20</f>
        <v>0</v>
      </c>
      <c r="G34" s="71"/>
      <c r="H34" s="71">
        <f>人物卡!J40</f>
        <v>0</v>
      </c>
      <c r="I34" s="71"/>
      <c r="J34" s="71"/>
      <c r="K34" s="71"/>
      <c r="L34" s="71"/>
      <c r="M34" s="71"/>
      <c r="N34" s="79"/>
      <c r="O34" s="79"/>
      <c r="P34" s="79"/>
      <c r="Q34" s="79"/>
      <c r="R34" s="79"/>
      <c r="S34" s="79"/>
      <c r="T34" s="83"/>
      <c r="U34" s="70"/>
      <c r="V34" s="71">
        <f>SUM(X34:AK34)</f>
        <v>0</v>
      </c>
      <c r="W34" s="71"/>
      <c r="X34" s="71">
        <f>人物卡!I23</f>
        <v>0</v>
      </c>
      <c r="Y34" s="71"/>
      <c r="Z34" s="71">
        <f>人物卡!J68</f>
        <v>0</v>
      </c>
      <c r="AA34" s="71"/>
      <c r="AB34" s="71"/>
      <c r="AC34" s="71"/>
      <c r="AD34" s="71"/>
      <c r="AE34" s="71"/>
      <c r="AF34" s="79"/>
      <c r="AG34" s="79"/>
      <c r="AH34" s="79"/>
      <c r="AI34" s="79"/>
      <c r="AJ34" s="79"/>
      <c r="AK34" s="87"/>
    </row>
    <row r="35" customHeight="1" spans="2:37">
      <c r="B35" s="65" t="s">
        <v>286</v>
      </c>
      <c r="C35" s="66"/>
      <c r="D35" s="67" t="s">
        <v>101</v>
      </c>
      <c r="E35" s="67"/>
      <c r="F35" s="68" t="s">
        <v>55</v>
      </c>
      <c r="G35" s="68"/>
      <c r="H35" s="68" t="s">
        <v>84</v>
      </c>
      <c r="I35" s="68"/>
      <c r="J35" s="68" t="s">
        <v>72</v>
      </c>
      <c r="K35" s="68"/>
      <c r="L35" s="68" t="s">
        <v>41</v>
      </c>
      <c r="M35" s="68"/>
      <c r="N35" s="68" t="s">
        <v>41</v>
      </c>
      <c r="O35" s="68"/>
      <c r="P35" s="68" t="s">
        <v>41</v>
      </c>
      <c r="Q35" s="68"/>
      <c r="R35" s="68" t="s">
        <v>41</v>
      </c>
      <c r="S35" s="68"/>
      <c r="T35" s="82" t="s">
        <v>287</v>
      </c>
      <c r="U35" s="66"/>
      <c r="V35" s="67" t="s">
        <v>101</v>
      </c>
      <c r="W35" s="67"/>
      <c r="X35" s="68" t="s">
        <v>288</v>
      </c>
      <c r="Y35" s="68"/>
      <c r="Z35" s="68" t="s">
        <v>96</v>
      </c>
      <c r="AA35" s="68"/>
      <c r="AB35" s="68" t="s">
        <v>72</v>
      </c>
      <c r="AC35" s="68"/>
      <c r="AD35" s="68" t="s">
        <v>41</v>
      </c>
      <c r="AE35" s="68"/>
      <c r="AF35" s="68" t="s">
        <v>41</v>
      </c>
      <c r="AG35" s="68"/>
      <c r="AH35" s="68" t="s">
        <v>41</v>
      </c>
      <c r="AI35" s="68"/>
      <c r="AJ35" s="68" t="s">
        <v>41</v>
      </c>
      <c r="AK35" s="86"/>
    </row>
    <row r="36" customHeight="1" spans="2:37">
      <c r="B36" s="69"/>
      <c r="C36" s="70"/>
      <c r="D36" s="71">
        <f>SUM(F36:S36)</f>
        <v>5</v>
      </c>
      <c r="E36" s="71"/>
      <c r="F36" s="71">
        <f>人物卡!G19</f>
        <v>4</v>
      </c>
      <c r="G36" s="71"/>
      <c r="H36" s="71">
        <f>人物卡!H44</f>
        <v>1</v>
      </c>
      <c r="I36" s="71"/>
      <c r="J36" s="71"/>
      <c r="K36" s="71"/>
      <c r="L36" s="71"/>
      <c r="M36" s="71"/>
      <c r="N36" s="79"/>
      <c r="O36" s="79"/>
      <c r="P36" s="79"/>
      <c r="Q36" s="79"/>
      <c r="R36" s="79"/>
      <c r="S36" s="79"/>
      <c r="T36" s="83"/>
      <c r="U36" s="70"/>
      <c r="V36" s="71">
        <f>SUM(X36:AK36)</f>
        <v>4</v>
      </c>
      <c r="W36" s="71"/>
      <c r="X36" s="71">
        <f>MAX(人物卡!G19,人物卡!G23)</f>
        <v>4</v>
      </c>
      <c r="Y36" s="71"/>
      <c r="Z36" s="71">
        <f>人物卡!H72</f>
        <v>0</v>
      </c>
      <c r="AA36" s="71"/>
      <c r="AB36" s="71"/>
      <c r="AC36" s="71"/>
      <c r="AD36" s="71"/>
      <c r="AE36" s="71"/>
      <c r="AF36" s="79"/>
      <c r="AG36" s="79"/>
      <c r="AH36" s="79"/>
      <c r="AI36" s="79"/>
      <c r="AJ36" s="79"/>
      <c r="AK36" s="87"/>
    </row>
    <row r="37" customHeight="1" spans="2:37">
      <c r="B37" s="69"/>
      <c r="C37" s="70"/>
      <c r="D37" s="6" t="s">
        <v>142</v>
      </c>
      <c r="E37" s="6"/>
      <c r="F37" s="72" t="s">
        <v>260</v>
      </c>
      <c r="G37" s="72"/>
      <c r="H37" s="72" t="s">
        <v>289</v>
      </c>
      <c r="I37" s="72"/>
      <c r="J37" s="72" t="s">
        <v>41</v>
      </c>
      <c r="K37" s="72"/>
      <c r="L37" s="72" t="s">
        <v>41</v>
      </c>
      <c r="M37" s="72"/>
      <c r="N37" s="72" t="s">
        <v>41</v>
      </c>
      <c r="O37" s="72"/>
      <c r="P37" s="72" t="s">
        <v>41</v>
      </c>
      <c r="Q37" s="72"/>
      <c r="R37" s="72" t="s">
        <v>41</v>
      </c>
      <c r="S37" s="72"/>
      <c r="T37" s="83"/>
      <c r="U37" s="70"/>
      <c r="V37" s="6" t="s">
        <v>142</v>
      </c>
      <c r="W37" s="6"/>
      <c r="X37" s="72" t="s">
        <v>290</v>
      </c>
      <c r="Y37" s="72"/>
      <c r="Z37" s="72" t="s">
        <v>285</v>
      </c>
      <c r="AA37" s="72"/>
      <c r="AB37" s="72" t="s">
        <v>41</v>
      </c>
      <c r="AC37" s="72"/>
      <c r="AD37" s="72" t="s">
        <v>41</v>
      </c>
      <c r="AE37" s="72"/>
      <c r="AF37" s="72" t="s">
        <v>41</v>
      </c>
      <c r="AG37" s="72"/>
      <c r="AH37" s="72" t="s">
        <v>41</v>
      </c>
      <c r="AI37" s="72"/>
      <c r="AJ37" s="72" t="s">
        <v>41</v>
      </c>
      <c r="AK37" s="88"/>
    </row>
    <row r="38" customHeight="1" spans="2:37">
      <c r="B38" s="73"/>
      <c r="C38" s="74"/>
      <c r="D38" s="75">
        <f>SUM(F38:S38)</f>
        <v>0</v>
      </c>
      <c r="E38" s="75"/>
      <c r="F38" s="75">
        <f>人物卡!I19</f>
        <v>0</v>
      </c>
      <c r="G38" s="75"/>
      <c r="H38" s="75">
        <f>人物卡!J44</f>
        <v>0</v>
      </c>
      <c r="I38" s="75"/>
      <c r="J38" s="75"/>
      <c r="K38" s="75"/>
      <c r="L38" s="75"/>
      <c r="M38" s="75"/>
      <c r="N38" s="80"/>
      <c r="O38" s="80"/>
      <c r="P38" s="80"/>
      <c r="Q38" s="80"/>
      <c r="R38" s="80"/>
      <c r="S38" s="80"/>
      <c r="T38" s="84"/>
      <c r="U38" s="74"/>
      <c r="V38" s="75">
        <f>SUM(X38:AK38)</f>
        <v>0</v>
      </c>
      <c r="W38" s="75"/>
      <c r="X38" s="75">
        <f>MAX(人物卡!I19,人物卡!I23)</f>
        <v>0</v>
      </c>
      <c r="Y38" s="75"/>
      <c r="Z38" s="75">
        <f>人物卡!J72</f>
        <v>0</v>
      </c>
      <c r="AA38" s="75"/>
      <c r="AB38" s="75"/>
      <c r="AC38" s="75"/>
      <c r="AD38" s="75"/>
      <c r="AE38" s="75"/>
      <c r="AF38" s="80"/>
      <c r="AG38" s="80"/>
      <c r="AH38" s="80"/>
      <c r="AI38" s="80"/>
      <c r="AJ38" s="80"/>
      <c r="AK38" s="89"/>
    </row>
    <row r="39" customHeight="1" spans="2:37">
      <c r="B39" s="69" t="s">
        <v>291</v>
      </c>
      <c r="C39" s="70"/>
      <c r="D39" s="6" t="s">
        <v>101</v>
      </c>
      <c r="E39" s="6"/>
      <c r="F39" s="72" t="s">
        <v>55</v>
      </c>
      <c r="G39" s="72"/>
      <c r="H39" s="72" t="s">
        <v>84</v>
      </c>
      <c r="I39" s="72"/>
      <c r="J39" s="72" t="s">
        <v>72</v>
      </c>
      <c r="K39" s="72"/>
      <c r="L39" s="72" t="s">
        <v>41</v>
      </c>
      <c r="M39" s="72"/>
      <c r="N39" s="72" t="s">
        <v>41</v>
      </c>
      <c r="O39" s="72"/>
      <c r="P39" s="72" t="s">
        <v>41</v>
      </c>
      <c r="Q39" s="72"/>
      <c r="R39" s="72" t="s">
        <v>41</v>
      </c>
      <c r="S39" s="72"/>
      <c r="T39" s="83" t="s">
        <v>292</v>
      </c>
      <c r="U39" s="70"/>
      <c r="V39" s="6" t="s">
        <v>101</v>
      </c>
      <c r="W39" s="6"/>
      <c r="X39" s="72" t="s">
        <v>288</v>
      </c>
      <c r="Y39" s="72"/>
      <c r="Z39" s="72" t="s">
        <v>96</v>
      </c>
      <c r="AA39" s="72"/>
      <c r="AB39" s="72" t="s">
        <v>72</v>
      </c>
      <c r="AC39" s="72"/>
      <c r="AD39" s="72" t="s">
        <v>41</v>
      </c>
      <c r="AE39" s="72"/>
      <c r="AF39" s="72" t="s">
        <v>41</v>
      </c>
      <c r="AG39" s="72"/>
      <c r="AH39" s="72" t="s">
        <v>41</v>
      </c>
      <c r="AI39" s="72"/>
      <c r="AJ39" s="72" t="s">
        <v>41</v>
      </c>
      <c r="AK39" s="88"/>
    </row>
    <row r="40" customHeight="1" spans="2:37">
      <c r="B40" s="69"/>
      <c r="C40" s="70"/>
      <c r="D40" s="71">
        <f>SUM(F40:S40)</f>
        <v>5</v>
      </c>
      <c r="E40" s="71"/>
      <c r="F40" s="71">
        <f>人物卡!G19</f>
        <v>4</v>
      </c>
      <c r="G40" s="71"/>
      <c r="H40" s="71">
        <f>人物卡!H44</f>
        <v>1</v>
      </c>
      <c r="I40" s="71"/>
      <c r="J40" s="71"/>
      <c r="K40" s="71"/>
      <c r="L40" s="71"/>
      <c r="M40" s="71"/>
      <c r="N40" s="79"/>
      <c r="O40" s="79"/>
      <c r="P40" s="79"/>
      <c r="Q40" s="79"/>
      <c r="R40" s="79"/>
      <c r="S40" s="79"/>
      <c r="T40" s="83"/>
      <c r="U40" s="70"/>
      <c r="V40" s="71">
        <f>SUM(X40:AK40)</f>
        <v>4</v>
      </c>
      <c r="W40" s="71"/>
      <c r="X40" s="71">
        <f>MAX(人物卡!G19,人物卡!G23)</f>
        <v>4</v>
      </c>
      <c r="Y40" s="71"/>
      <c r="Z40" s="71">
        <f>人物卡!H76</f>
        <v>0</v>
      </c>
      <c r="AA40" s="71"/>
      <c r="AB40" s="71"/>
      <c r="AC40" s="71"/>
      <c r="AD40" s="71"/>
      <c r="AE40" s="71"/>
      <c r="AF40" s="79"/>
      <c r="AG40" s="79"/>
      <c r="AH40" s="79"/>
      <c r="AI40" s="79"/>
      <c r="AJ40" s="79"/>
      <c r="AK40" s="87"/>
    </row>
    <row r="41" customHeight="1" spans="2:37">
      <c r="B41" s="69"/>
      <c r="C41" s="70"/>
      <c r="D41" s="6" t="s">
        <v>142</v>
      </c>
      <c r="E41" s="6"/>
      <c r="F41" s="72" t="s">
        <v>260</v>
      </c>
      <c r="G41" s="72"/>
      <c r="H41" s="72" t="s">
        <v>289</v>
      </c>
      <c r="I41" s="72"/>
      <c r="J41" s="72" t="s">
        <v>41</v>
      </c>
      <c r="K41" s="72"/>
      <c r="L41" s="72" t="s">
        <v>41</v>
      </c>
      <c r="M41" s="72"/>
      <c r="N41" s="72" t="s">
        <v>41</v>
      </c>
      <c r="O41" s="72"/>
      <c r="P41" s="72" t="s">
        <v>41</v>
      </c>
      <c r="Q41" s="72"/>
      <c r="R41" s="72" t="s">
        <v>41</v>
      </c>
      <c r="S41" s="72"/>
      <c r="T41" s="83"/>
      <c r="U41" s="70"/>
      <c r="V41" s="6" t="s">
        <v>142</v>
      </c>
      <c r="W41" s="6"/>
      <c r="X41" s="72" t="s">
        <v>290</v>
      </c>
      <c r="Y41" s="72"/>
      <c r="Z41" s="72" t="s">
        <v>285</v>
      </c>
      <c r="AA41" s="72"/>
      <c r="AB41" s="72" t="s">
        <v>41</v>
      </c>
      <c r="AC41" s="72"/>
      <c r="AD41" s="72" t="s">
        <v>41</v>
      </c>
      <c r="AE41" s="72"/>
      <c r="AF41" s="72" t="s">
        <v>41</v>
      </c>
      <c r="AG41" s="72"/>
      <c r="AH41" s="72" t="s">
        <v>41</v>
      </c>
      <c r="AI41" s="72"/>
      <c r="AJ41" s="72" t="s">
        <v>41</v>
      </c>
      <c r="AK41" s="88"/>
    </row>
    <row r="42" customHeight="1" spans="2:37">
      <c r="B42" s="69"/>
      <c r="C42" s="70"/>
      <c r="D42" s="71">
        <f>SUM(F42:S42)</f>
        <v>0</v>
      </c>
      <c r="E42" s="71"/>
      <c r="F42" s="71">
        <f>人物卡!I19</f>
        <v>0</v>
      </c>
      <c r="G42" s="71"/>
      <c r="H42" s="75">
        <f>人物卡!J48</f>
        <v>0</v>
      </c>
      <c r="I42" s="75"/>
      <c r="J42" s="71"/>
      <c r="K42" s="71"/>
      <c r="L42" s="71"/>
      <c r="M42" s="71"/>
      <c r="N42" s="79"/>
      <c r="O42" s="79"/>
      <c r="P42" s="79"/>
      <c r="Q42" s="79"/>
      <c r="R42" s="79"/>
      <c r="S42" s="79"/>
      <c r="T42" s="83"/>
      <c r="U42" s="70"/>
      <c r="V42" s="71">
        <f>SUM(X42:AK42)</f>
        <v>0</v>
      </c>
      <c r="W42" s="71"/>
      <c r="X42" s="71">
        <f>MAX(人物卡!I19,人物卡!I23)</f>
        <v>0</v>
      </c>
      <c r="Y42" s="71"/>
      <c r="Z42" s="75">
        <f>人物卡!J76</f>
        <v>0</v>
      </c>
      <c r="AA42" s="75"/>
      <c r="AB42" s="71"/>
      <c r="AC42" s="71"/>
      <c r="AD42" s="71"/>
      <c r="AE42" s="71"/>
      <c r="AF42" s="79"/>
      <c r="AG42" s="79"/>
      <c r="AH42" s="79"/>
      <c r="AI42" s="79"/>
      <c r="AJ42" s="79"/>
      <c r="AK42" s="87"/>
    </row>
    <row r="43" customHeight="1" spans="2:37">
      <c r="B43" s="65" t="s">
        <v>293</v>
      </c>
      <c r="C43" s="66"/>
      <c r="D43" s="67" t="s">
        <v>101</v>
      </c>
      <c r="E43" s="67"/>
      <c r="F43" s="68" t="s">
        <v>47</v>
      </c>
      <c r="G43" s="68"/>
      <c r="H43" s="68" t="s">
        <v>75</v>
      </c>
      <c r="I43" s="68"/>
      <c r="J43" s="68" t="s">
        <v>72</v>
      </c>
      <c r="K43" s="68"/>
      <c r="L43" s="68" t="s">
        <v>41</v>
      </c>
      <c r="M43" s="68"/>
      <c r="N43" s="68" t="s">
        <v>41</v>
      </c>
      <c r="O43" s="68"/>
      <c r="P43" s="68" t="s">
        <v>41</v>
      </c>
      <c r="Q43" s="68"/>
      <c r="R43" s="68" t="s">
        <v>41</v>
      </c>
      <c r="S43" s="68"/>
      <c r="T43" s="82" t="s">
        <v>294</v>
      </c>
      <c r="U43" s="66"/>
      <c r="V43" s="67" t="s">
        <v>101</v>
      </c>
      <c r="W43" s="67"/>
      <c r="X43" s="68" t="s">
        <v>49</v>
      </c>
      <c r="Y43" s="68"/>
      <c r="Z43" s="68" t="s">
        <v>79</v>
      </c>
      <c r="AA43" s="68"/>
      <c r="AB43" s="68" t="s">
        <v>72</v>
      </c>
      <c r="AC43" s="68"/>
      <c r="AD43" s="68" t="s">
        <v>41</v>
      </c>
      <c r="AE43" s="68"/>
      <c r="AF43" s="68" t="s">
        <v>41</v>
      </c>
      <c r="AG43" s="68"/>
      <c r="AH43" s="68" t="s">
        <v>41</v>
      </c>
      <c r="AI43" s="68"/>
      <c r="AJ43" s="68" t="s">
        <v>41</v>
      </c>
      <c r="AK43" s="86"/>
    </row>
    <row r="44" customHeight="1" spans="2:37">
      <c r="B44" s="69"/>
      <c r="C44" s="70"/>
      <c r="D44" s="71">
        <f>SUM(F44:S44)</f>
        <v>4</v>
      </c>
      <c r="E44" s="71"/>
      <c r="F44" s="71">
        <f>人物卡!G16</f>
        <v>2</v>
      </c>
      <c r="G44" s="71"/>
      <c r="H44" s="71">
        <f>人物卡!H28</f>
        <v>2</v>
      </c>
      <c r="I44" s="71"/>
      <c r="J44" s="71"/>
      <c r="K44" s="71"/>
      <c r="L44" s="71"/>
      <c r="M44" s="71"/>
      <c r="N44" s="79"/>
      <c r="O44" s="79"/>
      <c r="P44" s="79"/>
      <c r="Q44" s="79"/>
      <c r="R44" s="79"/>
      <c r="S44" s="79"/>
      <c r="T44" s="83"/>
      <c r="U44" s="70"/>
      <c r="V44" s="71">
        <f>SUM(X44:AK44)</f>
        <v>3</v>
      </c>
      <c r="W44" s="71"/>
      <c r="X44" s="71">
        <f>人物卡!G17</f>
        <v>3</v>
      </c>
      <c r="Y44" s="71"/>
      <c r="Z44" s="71">
        <f>人物卡!H36</f>
        <v>0</v>
      </c>
      <c r="AA44" s="71"/>
      <c r="AB44" s="71"/>
      <c r="AC44" s="71"/>
      <c r="AD44" s="71"/>
      <c r="AE44" s="71"/>
      <c r="AF44" s="79"/>
      <c r="AG44" s="79"/>
      <c r="AH44" s="79"/>
      <c r="AI44" s="79"/>
      <c r="AJ44" s="79"/>
      <c r="AK44" s="87"/>
    </row>
    <row r="45" customHeight="1" spans="2:37">
      <c r="B45" s="69"/>
      <c r="C45" s="70"/>
      <c r="D45" s="6" t="s">
        <v>142</v>
      </c>
      <c r="E45" s="6"/>
      <c r="F45" s="72" t="s">
        <v>295</v>
      </c>
      <c r="G45" s="72"/>
      <c r="H45" s="72" t="s">
        <v>145</v>
      </c>
      <c r="I45" s="72"/>
      <c r="J45" s="72" t="s">
        <v>41</v>
      </c>
      <c r="K45" s="72"/>
      <c r="L45" s="72" t="s">
        <v>41</v>
      </c>
      <c r="M45" s="72"/>
      <c r="N45" s="72" t="s">
        <v>41</v>
      </c>
      <c r="O45" s="72"/>
      <c r="P45" s="72" t="s">
        <v>41</v>
      </c>
      <c r="Q45" s="72"/>
      <c r="R45" s="72" t="s">
        <v>41</v>
      </c>
      <c r="S45" s="72"/>
      <c r="T45" s="83"/>
      <c r="U45" s="70"/>
      <c r="V45" s="6" t="s">
        <v>142</v>
      </c>
      <c r="W45" s="6"/>
      <c r="X45" s="72" t="s">
        <v>124</v>
      </c>
      <c r="Y45" s="72"/>
      <c r="Z45" s="72" t="s">
        <v>296</v>
      </c>
      <c r="AA45" s="72"/>
      <c r="AB45" s="72" t="s">
        <v>41</v>
      </c>
      <c r="AC45" s="72"/>
      <c r="AD45" s="72" t="s">
        <v>41</v>
      </c>
      <c r="AE45" s="72"/>
      <c r="AF45" s="72" t="s">
        <v>41</v>
      </c>
      <c r="AG45" s="72"/>
      <c r="AH45" s="72" t="s">
        <v>41</v>
      </c>
      <c r="AI45" s="72"/>
      <c r="AJ45" s="72" t="s">
        <v>41</v>
      </c>
      <c r="AK45" s="88"/>
    </row>
    <row r="46" customHeight="1" spans="2:37">
      <c r="B46" s="73"/>
      <c r="C46" s="74"/>
      <c r="D46" s="75">
        <f>SUM(F46:S46)</f>
        <v>0</v>
      </c>
      <c r="E46" s="75"/>
      <c r="F46" s="75">
        <f>人物卡!I16</f>
        <v>0</v>
      </c>
      <c r="G46" s="75"/>
      <c r="H46" s="75">
        <f>人物卡!J28</f>
        <v>0</v>
      </c>
      <c r="I46" s="75"/>
      <c r="J46" s="75"/>
      <c r="K46" s="75"/>
      <c r="L46" s="75"/>
      <c r="M46" s="75"/>
      <c r="N46" s="80"/>
      <c r="O46" s="80"/>
      <c r="P46" s="80"/>
      <c r="Q46" s="80"/>
      <c r="R46" s="80"/>
      <c r="S46" s="80"/>
      <c r="T46" s="84"/>
      <c r="U46" s="74"/>
      <c r="V46" s="75">
        <f>SUM(X46:AK46)</f>
        <v>0</v>
      </c>
      <c r="W46" s="75"/>
      <c r="X46" s="75">
        <f>人物卡!I17</f>
        <v>0</v>
      </c>
      <c r="Y46" s="75"/>
      <c r="Z46" s="75">
        <f>人物卡!J36</f>
        <v>0</v>
      </c>
      <c r="AA46" s="75"/>
      <c r="AB46" s="75"/>
      <c r="AC46" s="75"/>
      <c r="AD46" s="75"/>
      <c r="AE46" s="75"/>
      <c r="AF46" s="80"/>
      <c r="AG46" s="80"/>
      <c r="AH46" s="80"/>
      <c r="AI46" s="80"/>
      <c r="AJ46" s="80"/>
      <c r="AK46" s="89"/>
    </row>
    <row r="47" customHeight="1" spans="2:37">
      <c r="B47" s="65" t="s">
        <v>297</v>
      </c>
      <c r="C47" s="66"/>
      <c r="D47" s="67" t="s">
        <v>101</v>
      </c>
      <c r="E47" s="67"/>
      <c r="F47" s="68" t="s">
        <v>49</v>
      </c>
      <c r="G47" s="68"/>
      <c r="H47" s="68" t="s">
        <v>75</v>
      </c>
      <c r="I47" s="68"/>
      <c r="J47" s="68" t="s">
        <v>72</v>
      </c>
      <c r="K47" s="68"/>
      <c r="L47" s="68" t="s">
        <v>41</v>
      </c>
      <c r="M47" s="68"/>
      <c r="N47" s="68" t="s">
        <v>41</v>
      </c>
      <c r="O47" s="68"/>
      <c r="P47" s="68" t="s">
        <v>41</v>
      </c>
      <c r="Q47" s="68"/>
      <c r="R47" s="68" t="s">
        <v>41</v>
      </c>
      <c r="S47" s="68"/>
      <c r="T47" s="82" t="s">
        <v>298</v>
      </c>
      <c r="U47" s="66"/>
      <c r="V47" s="67" t="s">
        <v>101</v>
      </c>
      <c r="W47" s="67"/>
      <c r="X47" s="68" t="s">
        <v>55</v>
      </c>
      <c r="Y47" s="68"/>
      <c r="Z47" s="68" t="s">
        <v>79</v>
      </c>
      <c r="AA47" s="68"/>
      <c r="AB47" s="68" t="s">
        <v>72</v>
      </c>
      <c r="AC47" s="68"/>
      <c r="AD47" s="68" t="s">
        <v>41</v>
      </c>
      <c r="AE47" s="68"/>
      <c r="AF47" s="68" t="s">
        <v>41</v>
      </c>
      <c r="AG47" s="68"/>
      <c r="AH47" s="68" t="s">
        <v>41</v>
      </c>
      <c r="AI47" s="68"/>
      <c r="AJ47" s="68" t="s">
        <v>41</v>
      </c>
      <c r="AK47" s="86"/>
    </row>
    <row r="48" customHeight="1" spans="2:37">
      <c r="B48" s="69"/>
      <c r="C48" s="70"/>
      <c r="D48" s="71">
        <f>SUM(F48:S48)</f>
        <v>5</v>
      </c>
      <c r="E48" s="71"/>
      <c r="F48" s="71">
        <f>人物卡!G17</f>
        <v>3</v>
      </c>
      <c r="G48" s="71"/>
      <c r="H48" s="71">
        <f>人物卡!H28</f>
        <v>2</v>
      </c>
      <c r="I48" s="71"/>
      <c r="J48" s="71"/>
      <c r="K48" s="71"/>
      <c r="L48" s="71"/>
      <c r="M48" s="71"/>
      <c r="N48" s="79"/>
      <c r="O48" s="79"/>
      <c r="P48" s="79"/>
      <c r="Q48" s="79"/>
      <c r="R48" s="79"/>
      <c r="S48" s="79"/>
      <c r="T48" s="83"/>
      <c r="U48" s="70"/>
      <c r="V48" s="71">
        <f>SUM(X48:AK48)</f>
        <v>4</v>
      </c>
      <c r="W48" s="71"/>
      <c r="X48" s="71">
        <f>人物卡!G19</f>
        <v>4</v>
      </c>
      <c r="Y48" s="71"/>
      <c r="Z48" s="71">
        <f>人物卡!H40</f>
        <v>0</v>
      </c>
      <c r="AA48" s="71"/>
      <c r="AB48" s="71"/>
      <c r="AC48" s="71"/>
      <c r="AD48" s="71"/>
      <c r="AE48" s="71"/>
      <c r="AF48" s="79"/>
      <c r="AG48" s="79"/>
      <c r="AH48" s="79"/>
      <c r="AI48" s="79"/>
      <c r="AJ48" s="79"/>
      <c r="AK48" s="87"/>
    </row>
    <row r="49" customHeight="1" spans="2:37">
      <c r="B49" s="69"/>
      <c r="C49" s="70"/>
      <c r="D49" s="6" t="s">
        <v>142</v>
      </c>
      <c r="E49" s="6"/>
      <c r="F49" s="72" t="s">
        <v>124</v>
      </c>
      <c r="G49" s="72"/>
      <c r="H49" s="72" t="s">
        <v>145</v>
      </c>
      <c r="I49" s="72"/>
      <c r="J49" s="72" t="s">
        <v>41</v>
      </c>
      <c r="K49" s="72"/>
      <c r="L49" s="72" t="s">
        <v>41</v>
      </c>
      <c r="M49" s="72"/>
      <c r="N49" s="72" t="s">
        <v>41</v>
      </c>
      <c r="O49" s="72"/>
      <c r="P49" s="72" t="s">
        <v>41</v>
      </c>
      <c r="Q49" s="72"/>
      <c r="R49" s="72" t="s">
        <v>41</v>
      </c>
      <c r="S49" s="72"/>
      <c r="T49" s="83"/>
      <c r="U49" s="70"/>
      <c r="V49" s="6" t="s">
        <v>142</v>
      </c>
      <c r="W49" s="6"/>
      <c r="X49" s="72" t="s">
        <v>260</v>
      </c>
      <c r="Y49" s="72"/>
      <c r="Z49" s="72" t="s">
        <v>296</v>
      </c>
      <c r="AA49" s="72"/>
      <c r="AB49" s="72" t="s">
        <v>41</v>
      </c>
      <c r="AC49" s="72"/>
      <c r="AD49" s="72" t="s">
        <v>41</v>
      </c>
      <c r="AE49" s="72"/>
      <c r="AF49" s="72" t="s">
        <v>41</v>
      </c>
      <c r="AG49" s="72"/>
      <c r="AH49" s="72" t="s">
        <v>41</v>
      </c>
      <c r="AI49" s="72"/>
      <c r="AJ49" s="72" t="s">
        <v>41</v>
      </c>
      <c r="AK49" s="88"/>
    </row>
    <row r="50" customHeight="1" spans="2:37">
      <c r="B50" s="73"/>
      <c r="C50" s="74"/>
      <c r="D50" s="75">
        <f>SUM(F50:S50)</f>
        <v>0</v>
      </c>
      <c r="E50" s="75"/>
      <c r="F50" s="75">
        <f>人物卡!I17</f>
        <v>0</v>
      </c>
      <c r="G50" s="75"/>
      <c r="H50" s="75">
        <f>人物卡!J28</f>
        <v>0</v>
      </c>
      <c r="I50" s="75"/>
      <c r="J50" s="75"/>
      <c r="K50" s="75"/>
      <c r="L50" s="75"/>
      <c r="M50" s="75"/>
      <c r="N50" s="80"/>
      <c r="O50" s="80"/>
      <c r="P50" s="80"/>
      <c r="Q50" s="80"/>
      <c r="R50" s="80"/>
      <c r="S50" s="80"/>
      <c r="T50" s="84"/>
      <c r="U50" s="74"/>
      <c r="V50" s="75">
        <f>SUM(X50:AK50)</f>
        <v>0</v>
      </c>
      <c r="W50" s="75"/>
      <c r="X50" s="75">
        <f>人物卡!I19</f>
        <v>0</v>
      </c>
      <c r="Y50" s="75"/>
      <c r="Z50" s="75">
        <f>人物卡!J40</f>
        <v>0</v>
      </c>
      <c r="AA50" s="75"/>
      <c r="AB50" s="75"/>
      <c r="AC50" s="75"/>
      <c r="AD50" s="75"/>
      <c r="AE50" s="75"/>
      <c r="AF50" s="80"/>
      <c r="AG50" s="80"/>
      <c r="AH50" s="80"/>
      <c r="AI50" s="80"/>
      <c r="AJ50" s="80"/>
      <c r="AK50" s="89"/>
    </row>
    <row r="51" customHeight="1" spans="2:37">
      <c r="B51" s="65" t="s">
        <v>299</v>
      </c>
      <c r="C51" s="66"/>
      <c r="D51" s="67" t="s">
        <v>101</v>
      </c>
      <c r="E51" s="67"/>
      <c r="F51" s="68" t="s">
        <v>58</v>
      </c>
      <c r="G51" s="68"/>
      <c r="H51" s="68" t="s">
        <v>93</v>
      </c>
      <c r="I51" s="68"/>
      <c r="J51" s="68" t="s">
        <v>72</v>
      </c>
      <c r="K51" s="68"/>
      <c r="L51" s="68" t="s">
        <v>41</v>
      </c>
      <c r="M51" s="68"/>
      <c r="N51" s="68" t="s">
        <v>41</v>
      </c>
      <c r="O51" s="68"/>
      <c r="P51" s="68" t="s">
        <v>41</v>
      </c>
      <c r="Q51" s="68"/>
      <c r="R51" s="68" t="s">
        <v>41</v>
      </c>
      <c r="S51" s="68"/>
      <c r="T51" s="82" t="s">
        <v>300</v>
      </c>
      <c r="U51" s="66"/>
      <c r="V51" s="67" t="s">
        <v>101</v>
      </c>
      <c r="W51" s="67"/>
      <c r="X51" s="68" t="s">
        <v>32</v>
      </c>
      <c r="Y51" s="68"/>
      <c r="Z51" s="68" t="s">
        <v>69</v>
      </c>
      <c r="AA51" s="68"/>
      <c r="AB51" s="68" t="s">
        <v>72</v>
      </c>
      <c r="AC51" s="68"/>
      <c r="AD51" s="68" t="s">
        <v>41</v>
      </c>
      <c r="AE51" s="68"/>
      <c r="AF51" s="68" t="s">
        <v>41</v>
      </c>
      <c r="AG51" s="68"/>
      <c r="AH51" s="68" t="s">
        <v>41</v>
      </c>
      <c r="AI51" s="68"/>
      <c r="AJ51" s="68" t="s">
        <v>41</v>
      </c>
      <c r="AK51" s="86"/>
    </row>
    <row r="52" customHeight="1" spans="2:37">
      <c r="B52" s="69"/>
      <c r="C52" s="70"/>
      <c r="D52" s="71">
        <f>SUM(F52:S52)</f>
        <v>7</v>
      </c>
      <c r="E52" s="71"/>
      <c r="F52" s="71">
        <f>人物卡!G20</f>
        <v>5</v>
      </c>
      <c r="G52" s="71"/>
      <c r="H52" s="71">
        <f>人物卡!H62</f>
        <v>2</v>
      </c>
      <c r="I52" s="71"/>
      <c r="J52" s="71"/>
      <c r="K52" s="71"/>
      <c r="L52" s="71"/>
      <c r="M52" s="71"/>
      <c r="N52" s="79"/>
      <c r="O52" s="79"/>
      <c r="P52" s="79"/>
      <c r="Q52" s="79"/>
      <c r="R52" s="79"/>
      <c r="S52" s="79"/>
      <c r="T52" s="83"/>
      <c r="U52" s="70"/>
      <c r="V52" s="71">
        <f>SUM(X52:AK52)</f>
        <v>0</v>
      </c>
      <c r="W52" s="71"/>
      <c r="X52" s="71"/>
      <c r="Y52" s="71"/>
      <c r="Z52" s="71"/>
      <c r="AA52" s="71"/>
      <c r="AB52" s="71"/>
      <c r="AC52" s="71"/>
      <c r="AD52" s="71"/>
      <c r="AE52" s="71"/>
      <c r="AF52" s="79"/>
      <c r="AG52" s="79"/>
      <c r="AH52" s="79"/>
      <c r="AI52" s="79"/>
      <c r="AJ52" s="79"/>
      <c r="AK52" s="87"/>
    </row>
    <row r="53" customHeight="1" spans="2:37">
      <c r="B53" s="69"/>
      <c r="C53" s="70"/>
      <c r="D53" s="6" t="s">
        <v>142</v>
      </c>
      <c r="E53" s="6"/>
      <c r="F53" s="72" t="s">
        <v>107</v>
      </c>
      <c r="G53" s="72"/>
      <c r="H53" s="72" t="s">
        <v>143</v>
      </c>
      <c r="I53" s="72"/>
      <c r="J53" s="72" t="s">
        <v>41</v>
      </c>
      <c r="K53" s="72"/>
      <c r="L53" s="72" t="s">
        <v>41</v>
      </c>
      <c r="M53" s="72"/>
      <c r="N53" s="72" t="s">
        <v>41</v>
      </c>
      <c r="O53" s="72"/>
      <c r="P53" s="72" t="s">
        <v>41</v>
      </c>
      <c r="Q53" s="72"/>
      <c r="R53" s="72" t="s">
        <v>41</v>
      </c>
      <c r="S53" s="72"/>
      <c r="T53" s="83"/>
      <c r="U53" s="70"/>
      <c r="V53" s="6" t="s">
        <v>142</v>
      </c>
      <c r="W53" s="6"/>
      <c r="X53" s="72" t="s">
        <v>242</v>
      </c>
      <c r="Y53" s="72"/>
      <c r="Z53" s="72" t="s">
        <v>243</v>
      </c>
      <c r="AA53" s="72"/>
      <c r="AB53" s="72" t="s">
        <v>41</v>
      </c>
      <c r="AC53" s="72"/>
      <c r="AD53" s="72" t="s">
        <v>41</v>
      </c>
      <c r="AE53" s="72"/>
      <c r="AF53" s="72" t="s">
        <v>41</v>
      </c>
      <c r="AG53" s="72"/>
      <c r="AH53" s="72" t="s">
        <v>41</v>
      </c>
      <c r="AI53" s="72"/>
      <c r="AJ53" s="72" t="s">
        <v>41</v>
      </c>
      <c r="AK53" s="88"/>
    </row>
    <row r="54" customHeight="1" spans="2:37">
      <c r="B54" s="73"/>
      <c r="C54" s="74"/>
      <c r="D54" s="75">
        <f>SUM(F54:S54)</f>
        <v>0</v>
      </c>
      <c r="E54" s="75"/>
      <c r="F54" s="75">
        <f>人物卡!I20</f>
        <v>0</v>
      </c>
      <c r="G54" s="75"/>
      <c r="H54" s="75">
        <f>人物卡!J62</f>
        <v>0</v>
      </c>
      <c r="I54" s="75"/>
      <c r="J54" s="75"/>
      <c r="K54" s="75"/>
      <c r="L54" s="75"/>
      <c r="M54" s="75"/>
      <c r="N54" s="80"/>
      <c r="O54" s="80"/>
      <c r="P54" s="80"/>
      <c r="Q54" s="80"/>
      <c r="R54" s="80"/>
      <c r="S54" s="80"/>
      <c r="T54" s="84"/>
      <c r="U54" s="74"/>
      <c r="V54" s="75">
        <f>SUM(X54:AK54)</f>
        <v>0</v>
      </c>
      <c r="W54" s="75"/>
      <c r="X54" s="75"/>
      <c r="Y54" s="75"/>
      <c r="Z54" s="75"/>
      <c r="AA54" s="75"/>
      <c r="AB54" s="75"/>
      <c r="AC54" s="75"/>
      <c r="AD54" s="75"/>
      <c r="AE54" s="75"/>
      <c r="AF54" s="80"/>
      <c r="AG54" s="80"/>
      <c r="AH54" s="80"/>
      <c r="AI54" s="80"/>
      <c r="AJ54" s="80"/>
      <c r="AK54" s="89"/>
    </row>
    <row r="55" customHeight="1" spans="2:37">
      <c r="B55" s="65" t="s">
        <v>300</v>
      </c>
      <c r="C55" s="66"/>
      <c r="D55" s="67" t="s">
        <v>101</v>
      </c>
      <c r="E55" s="67"/>
      <c r="F55" s="68" t="s">
        <v>32</v>
      </c>
      <c r="G55" s="68"/>
      <c r="H55" s="68" t="s">
        <v>69</v>
      </c>
      <c r="I55" s="68"/>
      <c r="J55" s="68" t="s">
        <v>72</v>
      </c>
      <c r="K55" s="68"/>
      <c r="L55" s="68" t="s">
        <v>41</v>
      </c>
      <c r="M55" s="68"/>
      <c r="N55" s="68" t="s">
        <v>41</v>
      </c>
      <c r="O55" s="68"/>
      <c r="P55" s="68" t="s">
        <v>41</v>
      </c>
      <c r="Q55" s="68"/>
      <c r="R55" s="68" t="s">
        <v>41</v>
      </c>
      <c r="S55" s="68"/>
      <c r="T55" s="82" t="s">
        <v>300</v>
      </c>
      <c r="U55" s="66"/>
      <c r="V55" s="67" t="s">
        <v>101</v>
      </c>
      <c r="W55" s="67"/>
      <c r="X55" s="68" t="s">
        <v>32</v>
      </c>
      <c r="Y55" s="68"/>
      <c r="Z55" s="68" t="s">
        <v>69</v>
      </c>
      <c r="AA55" s="68"/>
      <c r="AB55" s="68" t="s">
        <v>72</v>
      </c>
      <c r="AC55" s="68"/>
      <c r="AD55" s="68" t="s">
        <v>41</v>
      </c>
      <c r="AE55" s="68"/>
      <c r="AF55" s="68" t="s">
        <v>41</v>
      </c>
      <c r="AG55" s="68"/>
      <c r="AH55" s="68" t="s">
        <v>41</v>
      </c>
      <c r="AI55" s="68"/>
      <c r="AJ55" s="68" t="s">
        <v>41</v>
      </c>
      <c r="AK55" s="86"/>
    </row>
    <row r="56" customHeight="1" spans="2:37">
      <c r="B56" s="69"/>
      <c r="C56" s="70"/>
      <c r="D56" s="71">
        <f>SUM(F56:S56)</f>
        <v>0</v>
      </c>
      <c r="E56" s="71"/>
      <c r="F56" s="71"/>
      <c r="G56" s="71"/>
      <c r="H56" s="71"/>
      <c r="I56" s="71"/>
      <c r="J56" s="71"/>
      <c r="K56" s="71"/>
      <c r="L56" s="71"/>
      <c r="M56" s="71"/>
      <c r="N56" s="79"/>
      <c r="O56" s="79"/>
      <c r="P56" s="79"/>
      <c r="Q56" s="79"/>
      <c r="R56" s="79"/>
      <c r="S56" s="79"/>
      <c r="T56" s="83"/>
      <c r="U56" s="70"/>
      <c r="V56" s="71">
        <f>SUM(X56:AK56)</f>
        <v>0</v>
      </c>
      <c r="W56" s="71"/>
      <c r="X56" s="71"/>
      <c r="Y56" s="71"/>
      <c r="Z56" s="71"/>
      <c r="AA56" s="71"/>
      <c r="AB56" s="71"/>
      <c r="AC56" s="71"/>
      <c r="AD56" s="71"/>
      <c r="AE56" s="71"/>
      <c r="AF56" s="79"/>
      <c r="AG56" s="79"/>
      <c r="AH56" s="79"/>
      <c r="AI56" s="79"/>
      <c r="AJ56" s="79"/>
      <c r="AK56" s="87"/>
    </row>
    <row r="57" customHeight="1" spans="2:37">
      <c r="B57" s="69"/>
      <c r="C57" s="70"/>
      <c r="D57" s="6" t="s">
        <v>142</v>
      </c>
      <c r="E57" s="6"/>
      <c r="F57" s="72" t="s">
        <v>242</v>
      </c>
      <c r="G57" s="72"/>
      <c r="H57" s="72" t="s">
        <v>243</v>
      </c>
      <c r="I57" s="72"/>
      <c r="J57" s="72" t="s">
        <v>41</v>
      </c>
      <c r="K57" s="72"/>
      <c r="L57" s="72" t="s">
        <v>41</v>
      </c>
      <c r="M57" s="72"/>
      <c r="N57" s="72" t="s">
        <v>41</v>
      </c>
      <c r="O57" s="72"/>
      <c r="P57" s="72" t="s">
        <v>41</v>
      </c>
      <c r="Q57" s="72"/>
      <c r="R57" s="72" t="s">
        <v>41</v>
      </c>
      <c r="S57" s="72"/>
      <c r="T57" s="83"/>
      <c r="U57" s="70"/>
      <c r="V57" s="6" t="s">
        <v>142</v>
      </c>
      <c r="W57" s="6"/>
      <c r="X57" s="72" t="s">
        <v>242</v>
      </c>
      <c r="Y57" s="72"/>
      <c r="Z57" s="72" t="s">
        <v>243</v>
      </c>
      <c r="AA57" s="72"/>
      <c r="AB57" s="72" t="s">
        <v>41</v>
      </c>
      <c r="AC57" s="72"/>
      <c r="AD57" s="72" t="s">
        <v>41</v>
      </c>
      <c r="AE57" s="72"/>
      <c r="AF57" s="72" t="s">
        <v>41</v>
      </c>
      <c r="AG57" s="72"/>
      <c r="AH57" s="72" t="s">
        <v>41</v>
      </c>
      <c r="AI57" s="72"/>
      <c r="AJ57" s="72" t="s">
        <v>41</v>
      </c>
      <c r="AK57" s="88"/>
    </row>
    <row r="58" customHeight="1" spans="2:37">
      <c r="B58" s="73"/>
      <c r="C58" s="74"/>
      <c r="D58" s="75">
        <f>SUM(F58:S58)</f>
        <v>0</v>
      </c>
      <c r="E58" s="75"/>
      <c r="F58" s="75"/>
      <c r="G58" s="75"/>
      <c r="H58" s="75"/>
      <c r="I58" s="75"/>
      <c r="J58" s="75"/>
      <c r="K58" s="75"/>
      <c r="L58" s="75"/>
      <c r="M58" s="75"/>
      <c r="N58" s="80"/>
      <c r="O58" s="80"/>
      <c r="P58" s="80"/>
      <c r="Q58" s="80"/>
      <c r="R58" s="80"/>
      <c r="S58" s="80"/>
      <c r="T58" s="84"/>
      <c r="U58" s="74"/>
      <c r="V58" s="75">
        <f>SUM(X58:AK58)</f>
        <v>0</v>
      </c>
      <c r="W58" s="75"/>
      <c r="X58" s="75"/>
      <c r="Y58" s="75"/>
      <c r="Z58" s="75"/>
      <c r="AA58" s="75"/>
      <c r="AB58" s="75"/>
      <c r="AC58" s="75"/>
      <c r="AD58" s="75"/>
      <c r="AE58" s="75"/>
      <c r="AF58" s="80"/>
      <c r="AG58" s="80"/>
      <c r="AH58" s="80"/>
      <c r="AI58" s="80"/>
      <c r="AJ58" s="80"/>
      <c r="AK58" s="89"/>
    </row>
    <row r="59" customHeight="1" spans="2:37">
      <c r="B59" s="65" t="s">
        <v>300</v>
      </c>
      <c r="C59" s="66"/>
      <c r="D59" s="67" t="s">
        <v>101</v>
      </c>
      <c r="E59" s="67"/>
      <c r="F59" s="68" t="s">
        <v>32</v>
      </c>
      <c r="G59" s="68"/>
      <c r="H59" s="68" t="s">
        <v>69</v>
      </c>
      <c r="I59" s="68"/>
      <c r="J59" s="68" t="s">
        <v>72</v>
      </c>
      <c r="K59" s="68"/>
      <c r="L59" s="68" t="s">
        <v>41</v>
      </c>
      <c r="M59" s="68"/>
      <c r="N59" s="68" t="s">
        <v>41</v>
      </c>
      <c r="O59" s="68"/>
      <c r="P59" s="68" t="s">
        <v>41</v>
      </c>
      <c r="Q59" s="68"/>
      <c r="R59" s="68" t="s">
        <v>41</v>
      </c>
      <c r="S59" s="68"/>
      <c r="T59" s="82" t="s">
        <v>300</v>
      </c>
      <c r="U59" s="66"/>
      <c r="V59" s="67" t="s">
        <v>101</v>
      </c>
      <c r="W59" s="67"/>
      <c r="X59" s="68" t="s">
        <v>32</v>
      </c>
      <c r="Y59" s="68"/>
      <c r="Z59" s="68" t="s">
        <v>69</v>
      </c>
      <c r="AA59" s="68"/>
      <c r="AB59" s="68" t="s">
        <v>72</v>
      </c>
      <c r="AC59" s="68"/>
      <c r="AD59" s="68" t="s">
        <v>41</v>
      </c>
      <c r="AE59" s="68"/>
      <c r="AF59" s="68" t="s">
        <v>41</v>
      </c>
      <c r="AG59" s="68"/>
      <c r="AH59" s="68" t="s">
        <v>41</v>
      </c>
      <c r="AI59" s="68"/>
      <c r="AJ59" s="68" t="s">
        <v>41</v>
      </c>
      <c r="AK59" s="86"/>
    </row>
    <row r="60" customHeight="1" spans="2:37">
      <c r="B60" s="69"/>
      <c r="C60" s="70"/>
      <c r="D60" s="71">
        <f>SUM(F60:S60)</f>
        <v>0</v>
      </c>
      <c r="E60" s="71"/>
      <c r="F60" s="71"/>
      <c r="G60" s="71"/>
      <c r="H60" s="71"/>
      <c r="I60" s="71"/>
      <c r="J60" s="71"/>
      <c r="K60" s="71"/>
      <c r="L60" s="71"/>
      <c r="M60" s="71"/>
      <c r="N60" s="79"/>
      <c r="O60" s="79"/>
      <c r="P60" s="79"/>
      <c r="Q60" s="79"/>
      <c r="R60" s="79"/>
      <c r="S60" s="79"/>
      <c r="T60" s="83"/>
      <c r="U60" s="70"/>
      <c r="V60" s="71">
        <f>SUM(X60:AK60)</f>
        <v>0</v>
      </c>
      <c r="W60" s="71"/>
      <c r="X60" s="71"/>
      <c r="Y60" s="71"/>
      <c r="Z60" s="71"/>
      <c r="AA60" s="71"/>
      <c r="AB60" s="71"/>
      <c r="AC60" s="71"/>
      <c r="AD60" s="71"/>
      <c r="AE60" s="71"/>
      <c r="AF60" s="79"/>
      <c r="AG60" s="79"/>
      <c r="AH60" s="79"/>
      <c r="AI60" s="79"/>
      <c r="AJ60" s="79"/>
      <c r="AK60" s="87"/>
    </row>
    <row r="61" customHeight="1" spans="2:37">
      <c r="B61" s="69"/>
      <c r="C61" s="70"/>
      <c r="D61" s="6" t="s">
        <v>142</v>
      </c>
      <c r="E61" s="6"/>
      <c r="F61" s="72" t="s">
        <v>242</v>
      </c>
      <c r="G61" s="72"/>
      <c r="H61" s="72" t="s">
        <v>243</v>
      </c>
      <c r="I61" s="72"/>
      <c r="J61" s="72" t="s">
        <v>41</v>
      </c>
      <c r="K61" s="72"/>
      <c r="L61" s="72" t="s">
        <v>41</v>
      </c>
      <c r="M61" s="72"/>
      <c r="N61" s="72" t="s">
        <v>41</v>
      </c>
      <c r="O61" s="72"/>
      <c r="P61" s="72" t="s">
        <v>41</v>
      </c>
      <c r="Q61" s="72"/>
      <c r="R61" s="72" t="s">
        <v>41</v>
      </c>
      <c r="S61" s="72"/>
      <c r="T61" s="83"/>
      <c r="U61" s="70"/>
      <c r="V61" s="6" t="s">
        <v>142</v>
      </c>
      <c r="W61" s="6"/>
      <c r="X61" s="72" t="s">
        <v>242</v>
      </c>
      <c r="Y61" s="72"/>
      <c r="Z61" s="72" t="s">
        <v>243</v>
      </c>
      <c r="AA61" s="72"/>
      <c r="AB61" s="72" t="s">
        <v>41</v>
      </c>
      <c r="AC61" s="72"/>
      <c r="AD61" s="72" t="s">
        <v>41</v>
      </c>
      <c r="AE61" s="72"/>
      <c r="AF61" s="72" t="s">
        <v>41</v>
      </c>
      <c r="AG61" s="72"/>
      <c r="AH61" s="72" t="s">
        <v>41</v>
      </c>
      <c r="AI61" s="72"/>
      <c r="AJ61" s="72" t="s">
        <v>41</v>
      </c>
      <c r="AK61" s="88"/>
    </row>
    <row r="62" customHeight="1" spans="2:37">
      <c r="B62" s="76"/>
      <c r="C62" s="77"/>
      <c r="D62" s="78">
        <f>SUM(F62:S62)</f>
        <v>0</v>
      </c>
      <c r="E62" s="78"/>
      <c r="F62" s="78"/>
      <c r="G62" s="78"/>
      <c r="H62" s="78"/>
      <c r="I62" s="78"/>
      <c r="J62" s="78"/>
      <c r="K62" s="78"/>
      <c r="L62" s="78"/>
      <c r="M62" s="78"/>
      <c r="N62" s="81"/>
      <c r="O62" s="81"/>
      <c r="P62" s="81"/>
      <c r="Q62" s="81"/>
      <c r="R62" s="81"/>
      <c r="S62" s="81"/>
      <c r="T62" s="85"/>
      <c r="U62" s="77"/>
      <c r="V62" s="78">
        <f>SUM(X62:AK62)</f>
        <v>0</v>
      </c>
      <c r="W62" s="78"/>
      <c r="X62" s="78"/>
      <c r="Y62" s="78"/>
      <c r="Z62" s="78"/>
      <c r="AA62" s="78"/>
      <c r="AB62" s="78"/>
      <c r="AC62" s="78"/>
      <c r="AD62" s="78"/>
      <c r="AE62" s="78"/>
      <c r="AF62" s="81"/>
      <c r="AG62" s="81"/>
      <c r="AH62" s="81"/>
      <c r="AI62" s="81"/>
      <c r="AJ62" s="81"/>
      <c r="AK62" s="90"/>
    </row>
  </sheetData>
  <mergeCells count="991">
    <mergeCell ref="B2:AK2"/>
    <mergeCell ref="D3:E3"/>
    <mergeCell ref="F3:G3"/>
    <mergeCell ref="H3:I3"/>
    <mergeCell ref="J3:K3"/>
    <mergeCell ref="L3:M3"/>
    <mergeCell ref="N3:O3"/>
    <mergeCell ref="P3:Q3"/>
    <mergeCell ref="R3:S3"/>
    <mergeCell ref="V3:W3"/>
    <mergeCell ref="X3:Y3"/>
    <mergeCell ref="Z3:AA3"/>
    <mergeCell ref="AB3:AC3"/>
    <mergeCell ref="AD3:AE3"/>
    <mergeCell ref="AF3:AG3"/>
    <mergeCell ref="AH3:AI3"/>
    <mergeCell ref="AJ3:AK3"/>
    <mergeCell ref="D4:E4"/>
    <mergeCell ref="F4:G4"/>
    <mergeCell ref="H4:I4"/>
    <mergeCell ref="J4:K4"/>
    <mergeCell ref="L4:M4"/>
    <mergeCell ref="N4:O4"/>
    <mergeCell ref="P4:Q4"/>
    <mergeCell ref="R4:S4"/>
    <mergeCell ref="V4:W4"/>
    <mergeCell ref="X4:Y4"/>
    <mergeCell ref="Z4:AA4"/>
    <mergeCell ref="AB4:AC4"/>
    <mergeCell ref="AD4:AE4"/>
    <mergeCell ref="AF4:AG4"/>
    <mergeCell ref="AH4:AI4"/>
    <mergeCell ref="AJ4:AK4"/>
    <mergeCell ref="D5:E5"/>
    <mergeCell ref="F5:G5"/>
    <mergeCell ref="H5:I5"/>
    <mergeCell ref="J5:K5"/>
    <mergeCell ref="L5:M5"/>
    <mergeCell ref="N5:O5"/>
    <mergeCell ref="P5:Q5"/>
    <mergeCell ref="R5:S5"/>
    <mergeCell ref="V5:W5"/>
    <mergeCell ref="X5:Y5"/>
    <mergeCell ref="Z5:AA5"/>
    <mergeCell ref="AB5:AC5"/>
    <mergeCell ref="AD5:AE5"/>
    <mergeCell ref="AF5:AG5"/>
    <mergeCell ref="AH5:AI5"/>
    <mergeCell ref="AJ5:AK5"/>
    <mergeCell ref="D6:E6"/>
    <mergeCell ref="F6:G6"/>
    <mergeCell ref="H6:I6"/>
    <mergeCell ref="J6:K6"/>
    <mergeCell ref="L6:M6"/>
    <mergeCell ref="N6:O6"/>
    <mergeCell ref="P6:Q6"/>
    <mergeCell ref="R6:S6"/>
    <mergeCell ref="V6:W6"/>
    <mergeCell ref="X6:Y6"/>
    <mergeCell ref="Z6:AA6"/>
    <mergeCell ref="AB6:AC6"/>
    <mergeCell ref="AD6:AE6"/>
    <mergeCell ref="AF6:AG6"/>
    <mergeCell ref="AH6:AI6"/>
    <mergeCell ref="AJ6:AK6"/>
    <mergeCell ref="D7:E7"/>
    <mergeCell ref="F7:G7"/>
    <mergeCell ref="H7:I7"/>
    <mergeCell ref="J7:K7"/>
    <mergeCell ref="L7:M7"/>
    <mergeCell ref="N7:O7"/>
    <mergeCell ref="P7:Q7"/>
    <mergeCell ref="R7:S7"/>
    <mergeCell ref="V7:W7"/>
    <mergeCell ref="X7:Y7"/>
    <mergeCell ref="Z7:AA7"/>
    <mergeCell ref="AB7:AC7"/>
    <mergeCell ref="AD7:AE7"/>
    <mergeCell ref="AF7:AG7"/>
    <mergeCell ref="AH7:AI7"/>
    <mergeCell ref="AJ7:AK7"/>
    <mergeCell ref="D8:E8"/>
    <mergeCell ref="F8:G8"/>
    <mergeCell ref="H8:I8"/>
    <mergeCell ref="J8:K8"/>
    <mergeCell ref="L8:M8"/>
    <mergeCell ref="N8:O8"/>
    <mergeCell ref="P8:Q8"/>
    <mergeCell ref="R8:S8"/>
    <mergeCell ref="V8:W8"/>
    <mergeCell ref="X8:Y8"/>
    <mergeCell ref="Z8:AA8"/>
    <mergeCell ref="AB8:AC8"/>
    <mergeCell ref="AD8:AE8"/>
    <mergeCell ref="AF8:AG8"/>
    <mergeCell ref="AH8:AI8"/>
    <mergeCell ref="AJ8:AK8"/>
    <mergeCell ref="D9:E9"/>
    <mergeCell ref="F9:G9"/>
    <mergeCell ref="H9:I9"/>
    <mergeCell ref="J9:K9"/>
    <mergeCell ref="L9:M9"/>
    <mergeCell ref="N9:O9"/>
    <mergeCell ref="P9:Q9"/>
    <mergeCell ref="R9:S9"/>
    <mergeCell ref="V9:W9"/>
    <mergeCell ref="X9:Y9"/>
    <mergeCell ref="Z9:AA9"/>
    <mergeCell ref="AB9:AC9"/>
    <mergeCell ref="AD9:AE9"/>
    <mergeCell ref="AF9:AG9"/>
    <mergeCell ref="AH9:AI9"/>
    <mergeCell ref="AJ9:AK9"/>
    <mergeCell ref="D10:E10"/>
    <mergeCell ref="F10:G10"/>
    <mergeCell ref="H10:I10"/>
    <mergeCell ref="J10:K10"/>
    <mergeCell ref="L10:M10"/>
    <mergeCell ref="N10:O10"/>
    <mergeCell ref="P10:Q10"/>
    <mergeCell ref="R10:S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D11:E11"/>
    <mergeCell ref="F11:G11"/>
    <mergeCell ref="H11:I11"/>
    <mergeCell ref="J11:K11"/>
    <mergeCell ref="L11:M11"/>
    <mergeCell ref="N11:O11"/>
    <mergeCell ref="P11:Q11"/>
    <mergeCell ref="R11:S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D12:E12"/>
    <mergeCell ref="F12:G12"/>
    <mergeCell ref="H12:I12"/>
    <mergeCell ref="J12:K12"/>
    <mergeCell ref="L12:M12"/>
    <mergeCell ref="N12:O12"/>
    <mergeCell ref="P12:Q12"/>
    <mergeCell ref="R12:S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D13:E13"/>
    <mergeCell ref="F13:G13"/>
    <mergeCell ref="H13:I13"/>
    <mergeCell ref="J13:K13"/>
    <mergeCell ref="L13:M13"/>
    <mergeCell ref="N13:O13"/>
    <mergeCell ref="P13:Q13"/>
    <mergeCell ref="R13:S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D14:E14"/>
    <mergeCell ref="F14:G14"/>
    <mergeCell ref="H14:I14"/>
    <mergeCell ref="J14:K14"/>
    <mergeCell ref="L14:M14"/>
    <mergeCell ref="N14:O14"/>
    <mergeCell ref="P14:Q14"/>
    <mergeCell ref="R14:S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D15:E15"/>
    <mergeCell ref="F15:G15"/>
    <mergeCell ref="H15:I15"/>
    <mergeCell ref="J15:K15"/>
    <mergeCell ref="L15:M15"/>
    <mergeCell ref="N15:O15"/>
    <mergeCell ref="P15:Q15"/>
    <mergeCell ref="R15:S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D16:E16"/>
    <mergeCell ref="F16:G16"/>
    <mergeCell ref="H16:I16"/>
    <mergeCell ref="J16:K16"/>
    <mergeCell ref="L16:M16"/>
    <mergeCell ref="N16:O16"/>
    <mergeCell ref="P16:Q16"/>
    <mergeCell ref="R16:S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D17:E17"/>
    <mergeCell ref="F17:G17"/>
    <mergeCell ref="H17:I17"/>
    <mergeCell ref="J17:K17"/>
    <mergeCell ref="L17:M17"/>
    <mergeCell ref="N17:O17"/>
    <mergeCell ref="P17:Q17"/>
    <mergeCell ref="R17:S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D18:E18"/>
    <mergeCell ref="F18:G18"/>
    <mergeCell ref="H18:I18"/>
    <mergeCell ref="J18:K18"/>
    <mergeCell ref="L18:M18"/>
    <mergeCell ref="N18:O18"/>
    <mergeCell ref="P18:Q18"/>
    <mergeCell ref="R18:S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D19:E19"/>
    <mergeCell ref="F19:G19"/>
    <mergeCell ref="H19:I19"/>
    <mergeCell ref="J19:K19"/>
    <mergeCell ref="L19:M19"/>
    <mergeCell ref="N19:O19"/>
    <mergeCell ref="P19:Q19"/>
    <mergeCell ref="R19:S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D20:E20"/>
    <mergeCell ref="F20:G20"/>
    <mergeCell ref="H20:I20"/>
    <mergeCell ref="J20:K20"/>
    <mergeCell ref="L20:M20"/>
    <mergeCell ref="N20:O20"/>
    <mergeCell ref="P20:Q20"/>
    <mergeCell ref="R20:S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D21:E21"/>
    <mergeCell ref="F21:G21"/>
    <mergeCell ref="H21:I21"/>
    <mergeCell ref="J21:K21"/>
    <mergeCell ref="L21:M21"/>
    <mergeCell ref="N21:O21"/>
    <mergeCell ref="P21:Q21"/>
    <mergeCell ref="R21:S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D22:E22"/>
    <mergeCell ref="F22:G22"/>
    <mergeCell ref="H22:I22"/>
    <mergeCell ref="J22:K22"/>
    <mergeCell ref="L22:M22"/>
    <mergeCell ref="N22:O22"/>
    <mergeCell ref="P22:Q22"/>
    <mergeCell ref="R22:S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D23:E23"/>
    <mergeCell ref="F23:G23"/>
    <mergeCell ref="H23:I23"/>
    <mergeCell ref="J23:K23"/>
    <mergeCell ref="L23:M23"/>
    <mergeCell ref="N23:O23"/>
    <mergeCell ref="P23:Q23"/>
    <mergeCell ref="R23:S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D24:E24"/>
    <mergeCell ref="F24:G24"/>
    <mergeCell ref="H24:I24"/>
    <mergeCell ref="J24:K24"/>
    <mergeCell ref="L24:M24"/>
    <mergeCell ref="N24:O24"/>
    <mergeCell ref="P24:Q24"/>
    <mergeCell ref="R24:S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D25:E25"/>
    <mergeCell ref="F25:G25"/>
    <mergeCell ref="H25:I25"/>
    <mergeCell ref="J25:K25"/>
    <mergeCell ref="L25:M25"/>
    <mergeCell ref="N25:O25"/>
    <mergeCell ref="P25:Q25"/>
    <mergeCell ref="R25:S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D26:E26"/>
    <mergeCell ref="F26:G26"/>
    <mergeCell ref="H26:I26"/>
    <mergeCell ref="J26:K26"/>
    <mergeCell ref="L26:M26"/>
    <mergeCell ref="N26:O26"/>
    <mergeCell ref="P26:Q26"/>
    <mergeCell ref="R26:S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D27:E27"/>
    <mergeCell ref="F27:G27"/>
    <mergeCell ref="H27:I27"/>
    <mergeCell ref="J27:K27"/>
    <mergeCell ref="L27:M27"/>
    <mergeCell ref="N27:O27"/>
    <mergeCell ref="P27:Q27"/>
    <mergeCell ref="R27:S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D28:E28"/>
    <mergeCell ref="F28:G28"/>
    <mergeCell ref="H28:I28"/>
    <mergeCell ref="J28:K28"/>
    <mergeCell ref="L28:M28"/>
    <mergeCell ref="N28:O28"/>
    <mergeCell ref="P28:Q28"/>
    <mergeCell ref="R28:S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D29:E29"/>
    <mergeCell ref="F29:G29"/>
    <mergeCell ref="H29:I29"/>
    <mergeCell ref="J29:K29"/>
    <mergeCell ref="L29:M29"/>
    <mergeCell ref="N29:O29"/>
    <mergeCell ref="P29:Q29"/>
    <mergeCell ref="R29:S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D30:E30"/>
    <mergeCell ref="F30:G30"/>
    <mergeCell ref="H30:I30"/>
    <mergeCell ref="J30:K30"/>
    <mergeCell ref="L30:M30"/>
    <mergeCell ref="N30:O30"/>
    <mergeCell ref="P30:Q30"/>
    <mergeCell ref="R30:S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D31:E31"/>
    <mergeCell ref="F31:G31"/>
    <mergeCell ref="H31:I31"/>
    <mergeCell ref="J31:K31"/>
    <mergeCell ref="L31:M31"/>
    <mergeCell ref="N31:O31"/>
    <mergeCell ref="P31:Q31"/>
    <mergeCell ref="R31:S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D32:E32"/>
    <mergeCell ref="F32:G32"/>
    <mergeCell ref="H32:I32"/>
    <mergeCell ref="J32:K32"/>
    <mergeCell ref="L32:M32"/>
    <mergeCell ref="N32:O32"/>
    <mergeCell ref="P32:Q32"/>
    <mergeCell ref="R32:S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D33:E33"/>
    <mergeCell ref="F33:G33"/>
    <mergeCell ref="H33:I33"/>
    <mergeCell ref="J33:K33"/>
    <mergeCell ref="L33:M33"/>
    <mergeCell ref="N33:O33"/>
    <mergeCell ref="P33:Q33"/>
    <mergeCell ref="R33:S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D34:E34"/>
    <mergeCell ref="F34:G34"/>
    <mergeCell ref="H34:I34"/>
    <mergeCell ref="J34:K34"/>
    <mergeCell ref="L34:M34"/>
    <mergeCell ref="N34:O34"/>
    <mergeCell ref="P34:Q34"/>
    <mergeCell ref="R34:S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D35:E35"/>
    <mergeCell ref="F35:G35"/>
    <mergeCell ref="H35:I35"/>
    <mergeCell ref="J35:K35"/>
    <mergeCell ref="L35:M35"/>
    <mergeCell ref="N35:O35"/>
    <mergeCell ref="P35:Q35"/>
    <mergeCell ref="R35:S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D36:E36"/>
    <mergeCell ref="F36:G36"/>
    <mergeCell ref="H36:I36"/>
    <mergeCell ref="J36:K36"/>
    <mergeCell ref="L36:M36"/>
    <mergeCell ref="N36:O36"/>
    <mergeCell ref="P36:Q36"/>
    <mergeCell ref="R36:S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D37:E37"/>
    <mergeCell ref="F37:G37"/>
    <mergeCell ref="H37:I37"/>
    <mergeCell ref="J37:K37"/>
    <mergeCell ref="L37:M37"/>
    <mergeCell ref="N37:O37"/>
    <mergeCell ref="P37:Q37"/>
    <mergeCell ref="R37:S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D38:E38"/>
    <mergeCell ref="F38:G38"/>
    <mergeCell ref="H38:I38"/>
    <mergeCell ref="J38:K38"/>
    <mergeCell ref="L38:M38"/>
    <mergeCell ref="N38:O38"/>
    <mergeCell ref="P38:Q38"/>
    <mergeCell ref="R38:S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D39:E39"/>
    <mergeCell ref="F39:G39"/>
    <mergeCell ref="H39:I39"/>
    <mergeCell ref="J39:K39"/>
    <mergeCell ref="L39:M39"/>
    <mergeCell ref="N39:O39"/>
    <mergeCell ref="P39:Q39"/>
    <mergeCell ref="R39:S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D40:E40"/>
    <mergeCell ref="F40:G40"/>
    <mergeCell ref="H40:I40"/>
    <mergeCell ref="J40:K40"/>
    <mergeCell ref="L40:M40"/>
    <mergeCell ref="N40:O40"/>
    <mergeCell ref="P40:Q40"/>
    <mergeCell ref="R40:S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D41:E41"/>
    <mergeCell ref="F41:G41"/>
    <mergeCell ref="H41:I41"/>
    <mergeCell ref="J41:K41"/>
    <mergeCell ref="L41:M41"/>
    <mergeCell ref="N41:O41"/>
    <mergeCell ref="P41:Q41"/>
    <mergeCell ref="R41:S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D42:E42"/>
    <mergeCell ref="F42:G42"/>
    <mergeCell ref="H42:I42"/>
    <mergeCell ref="J42:K42"/>
    <mergeCell ref="L42:M42"/>
    <mergeCell ref="N42:O42"/>
    <mergeCell ref="P42:Q42"/>
    <mergeCell ref="R42:S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D43:E43"/>
    <mergeCell ref="F43:G43"/>
    <mergeCell ref="H43:I43"/>
    <mergeCell ref="J43:K43"/>
    <mergeCell ref="L43:M43"/>
    <mergeCell ref="N43:O43"/>
    <mergeCell ref="P43:Q43"/>
    <mergeCell ref="R43:S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D44:E44"/>
    <mergeCell ref="F44:G44"/>
    <mergeCell ref="H44:I44"/>
    <mergeCell ref="J44:K44"/>
    <mergeCell ref="L44:M44"/>
    <mergeCell ref="N44:O44"/>
    <mergeCell ref="P44:Q44"/>
    <mergeCell ref="R44:S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D45:E45"/>
    <mergeCell ref="F45:G45"/>
    <mergeCell ref="H45:I45"/>
    <mergeCell ref="J45:K45"/>
    <mergeCell ref="L45:M45"/>
    <mergeCell ref="N45:O45"/>
    <mergeCell ref="P45:Q45"/>
    <mergeCell ref="R45:S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D46:E46"/>
    <mergeCell ref="F46:G46"/>
    <mergeCell ref="H46:I46"/>
    <mergeCell ref="J46:K46"/>
    <mergeCell ref="L46:M46"/>
    <mergeCell ref="N46:O46"/>
    <mergeCell ref="P46:Q46"/>
    <mergeCell ref="R46:S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D47:E47"/>
    <mergeCell ref="F47:G47"/>
    <mergeCell ref="H47:I47"/>
    <mergeCell ref="J47:K47"/>
    <mergeCell ref="L47:M47"/>
    <mergeCell ref="N47:O47"/>
    <mergeCell ref="P47:Q47"/>
    <mergeCell ref="R47:S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D48:E48"/>
    <mergeCell ref="F48:G48"/>
    <mergeCell ref="H48:I48"/>
    <mergeCell ref="J48:K48"/>
    <mergeCell ref="L48:M48"/>
    <mergeCell ref="N48:O48"/>
    <mergeCell ref="P48:Q48"/>
    <mergeCell ref="R48:S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D49:E49"/>
    <mergeCell ref="F49:G49"/>
    <mergeCell ref="H49:I49"/>
    <mergeCell ref="J49:K49"/>
    <mergeCell ref="L49:M49"/>
    <mergeCell ref="N49:O49"/>
    <mergeCell ref="P49:Q49"/>
    <mergeCell ref="R49:S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D50:E50"/>
    <mergeCell ref="F50:G50"/>
    <mergeCell ref="H50:I50"/>
    <mergeCell ref="J50:K50"/>
    <mergeCell ref="L50:M50"/>
    <mergeCell ref="N50:O50"/>
    <mergeCell ref="P50:Q50"/>
    <mergeCell ref="R50:S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D51:E51"/>
    <mergeCell ref="F51:G51"/>
    <mergeCell ref="H51:I51"/>
    <mergeCell ref="J51:K51"/>
    <mergeCell ref="L51:M51"/>
    <mergeCell ref="N51:O51"/>
    <mergeCell ref="P51:Q51"/>
    <mergeCell ref="R51:S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D52:E52"/>
    <mergeCell ref="F52:G52"/>
    <mergeCell ref="H52:I52"/>
    <mergeCell ref="J52:K52"/>
    <mergeCell ref="L52:M52"/>
    <mergeCell ref="N52:O52"/>
    <mergeCell ref="P52:Q52"/>
    <mergeCell ref="R52:S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D53:E53"/>
    <mergeCell ref="F53:G53"/>
    <mergeCell ref="H53:I53"/>
    <mergeCell ref="J53:K53"/>
    <mergeCell ref="L53:M53"/>
    <mergeCell ref="N53:O53"/>
    <mergeCell ref="P53:Q53"/>
    <mergeCell ref="R53:S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D54:E54"/>
    <mergeCell ref="F54:G54"/>
    <mergeCell ref="H54:I54"/>
    <mergeCell ref="J54:K54"/>
    <mergeCell ref="L54:M54"/>
    <mergeCell ref="N54:O54"/>
    <mergeCell ref="P54:Q54"/>
    <mergeCell ref="R54:S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D55:E55"/>
    <mergeCell ref="F55:G55"/>
    <mergeCell ref="H55:I55"/>
    <mergeCell ref="J55:K55"/>
    <mergeCell ref="L55:M55"/>
    <mergeCell ref="N55:O55"/>
    <mergeCell ref="P55:Q55"/>
    <mergeCell ref="R55:S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D56:E56"/>
    <mergeCell ref="F56:G56"/>
    <mergeCell ref="H56:I56"/>
    <mergeCell ref="J56:K56"/>
    <mergeCell ref="L56:M56"/>
    <mergeCell ref="N56:O56"/>
    <mergeCell ref="P56:Q56"/>
    <mergeCell ref="R56:S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D57:E57"/>
    <mergeCell ref="F57:G57"/>
    <mergeCell ref="H57:I57"/>
    <mergeCell ref="J57:K57"/>
    <mergeCell ref="L57:M57"/>
    <mergeCell ref="N57:O57"/>
    <mergeCell ref="P57:Q57"/>
    <mergeCell ref="R57:S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D58:E58"/>
    <mergeCell ref="F58:G58"/>
    <mergeCell ref="H58:I58"/>
    <mergeCell ref="J58:K58"/>
    <mergeCell ref="L58:M58"/>
    <mergeCell ref="N58:O58"/>
    <mergeCell ref="P58:Q58"/>
    <mergeCell ref="R58:S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D59:E59"/>
    <mergeCell ref="F59:G59"/>
    <mergeCell ref="H59:I59"/>
    <mergeCell ref="J59:K59"/>
    <mergeCell ref="L59:M59"/>
    <mergeCell ref="N59:O59"/>
    <mergeCell ref="P59:Q59"/>
    <mergeCell ref="R59:S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D60:E60"/>
    <mergeCell ref="F60:G60"/>
    <mergeCell ref="H60:I60"/>
    <mergeCell ref="J60:K60"/>
    <mergeCell ref="L60:M60"/>
    <mergeCell ref="N60:O60"/>
    <mergeCell ref="P60:Q60"/>
    <mergeCell ref="R60:S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D61:E61"/>
    <mergeCell ref="F61:G61"/>
    <mergeCell ref="H61:I61"/>
    <mergeCell ref="J61:K61"/>
    <mergeCell ref="L61:M61"/>
    <mergeCell ref="N61:O61"/>
    <mergeCell ref="P61:Q61"/>
    <mergeCell ref="R61:S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D62:E62"/>
    <mergeCell ref="F62:G62"/>
    <mergeCell ref="H62:I62"/>
    <mergeCell ref="J62:K62"/>
    <mergeCell ref="L62:M62"/>
    <mergeCell ref="N62:O62"/>
    <mergeCell ref="P62:Q62"/>
    <mergeCell ref="R62:S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B3:C6"/>
    <mergeCell ref="T3:U6"/>
    <mergeCell ref="B7:C10"/>
    <mergeCell ref="T7:U10"/>
    <mergeCell ref="B19:C22"/>
    <mergeCell ref="T19:U22"/>
    <mergeCell ref="B23:C26"/>
    <mergeCell ref="T23:U26"/>
    <mergeCell ref="B27:C30"/>
    <mergeCell ref="T27:U30"/>
    <mergeCell ref="B31:C34"/>
    <mergeCell ref="T31:U34"/>
    <mergeCell ref="B35:C38"/>
    <mergeCell ref="T35:U38"/>
    <mergeCell ref="B39:C42"/>
    <mergeCell ref="T39:U42"/>
    <mergeCell ref="B43:C46"/>
    <mergeCell ref="T43:U46"/>
    <mergeCell ref="B47:C50"/>
    <mergeCell ref="T47:U50"/>
    <mergeCell ref="B51:C54"/>
    <mergeCell ref="T51:U54"/>
    <mergeCell ref="B11:C14"/>
    <mergeCell ref="T11:U14"/>
    <mergeCell ref="B15:C18"/>
    <mergeCell ref="T15:U18"/>
    <mergeCell ref="B55:C58"/>
    <mergeCell ref="T55:U58"/>
    <mergeCell ref="B59:C62"/>
    <mergeCell ref="T59:U6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92"/>
  <sheetViews>
    <sheetView workbookViewId="0">
      <selection activeCell="Z13" sqref="Z13"/>
    </sheetView>
  </sheetViews>
  <sheetFormatPr defaultColWidth="4.775" defaultRowHeight="16" customHeight="1"/>
  <cols>
    <col min="1" max="16384" width="4.775" style="61" customWidth="1"/>
  </cols>
  <sheetData>
    <row r="2" customHeight="1" spans="2:28">
      <c r="B2" s="45" t="s">
        <v>301</v>
      </c>
      <c r="C2" s="46"/>
      <c r="D2" s="46" t="s">
        <v>302</v>
      </c>
      <c r="E2" s="46"/>
      <c r="F2" s="46"/>
      <c r="G2" s="46" t="s">
        <v>303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53" t="s">
        <v>304</v>
      </c>
      <c r="X2" s="54"/>
      <c r="Z2" s="63" t="s">
        <v>305</v>
      </c>
      <c r="AA2" s="53"/>
      <c r="AB2" s="54"/>
    </row>
    <row r="3" customHeight="1" spans="2:28">
      <c r="B3" s="48" t="s">
        <v>306</v>
      </c>
      <c r="C3" s="6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17"/>
      <c r="Z3" s="7">
        <f>SUM(W3:X92)</f>
        <v>0</v>
      </c>
      <c r="AA3" s="12"/>
      <c r="AB3" s="17"/>
    </row>
    <row r="4" customHeight="1" spans="2:28">
      <c r="B4" s="48"/>
      <c r="C4" s="6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7"/>
      <c r="Z4" s="7"/>
      <c r="AA4" s="12"/>
      <c r="AB4" s="17"/>
    </row>
    <row r="5" customHeight="1" spans="2:28">
      <c r="B5" s="48"/>
      <c r="C5" s="6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7"/>
      <c r="Z5" s="9"/>
      <c r="AA5" s="10"/>
      <c r="AB5" s="18"/>
    </row>
    <row r="6" customHeight="1" spans="2:24">
      <c r="B6" s="48" t="s">
        <v>307</v>
      </c>
      <c r="C6" s="6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7"/>
    </row>
    <row r="7" customHeight="1" spans="2:24">
      <c r="B7" s="48"/>
      <c r="C7" s="6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7"/>
    </row>
    <row r="8" customHeight="1" spans="2:24">
      <c r="B8" s="48"/>
      <c r="C8" s="6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17"/>
    </row>
    <row r="9" customHeight="1" spans="2:24">
      <c r="B9" s="48" t="s">
        <v>308</v>
      </c>
      <c r="C9" s="6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17"/>
    </row>
    <row r="10" customHeight="1" spans="2:24">
      <c r="B10" s="48"/>
      <c r="C10" s="6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17"/>
    </row>
    <row r="11" customHeight="1" spans="2:24">
      <c r="B11" s="48"/>
      <c r="C11" s="6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7"/>
    </row>
    <row r="12" customHeight="1" spans="2:24">
      <c r="B12" s="48" t="s">
        <v>309</v>
      </c>
      <c r="C12" s="6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17"/>
    </row>
    <row r="13" customHeight="1" spans="2:24">
      <c r="B13" s="48"/>
      <c r="C13" s="6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7"/>
    </row>
    <row r="14" customHeight="1" spans="2:24">
      <c r="B14" s="48"/>
      <c r="C14" s="6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17"/>
    </row>
    <row r="15" customHeight="1" spans="2:24">
      <c r="B15" s="48" t="s">
        <v>310</v>
      </c>
      <c r="C15" s="6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17"/>
    </row>
    <row r="16" customHeight="1" spans="2:24">
      <c r="B16" s="48"/>
      <c r="C16" s="6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17"/>
    </row>
    <row r="17" customHeight="1" spans="2:24">
      <c r="B17" s="48"/>
      <c r="C17" s="6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17"/>
    </row>
    <row r="18" customHeight="1" spans="2:24">
      <c r="B18" s="48" t="s">
        <v>134</v>
      </c>
      <c r="C18" s="6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17"/>
    </row>
    <row r="19" customHeight="1" spans="2:24">
      <c r="B19" s="48"/>
      <c r="C19" s="6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17"/>
    </row>
    <row r="20" customHeight="1" spans="2:24">
      <c r="B20" s="48"/>
      <c r="C20" s="6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17"/>
    </row>
    <row r="21" customHeight="1" spans="2:24">
      <c r="B21" s="48" t="s">
        <v>311</v>
      </c>
      <c r="C21" s="6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17"/>
    </row>
    <row r="22" customHeight="1" spans="2:24">
      <c r="B22" s="48"/>
      <c r="C22" s="6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17"/>
    </row>
    <row r="23" customHeight="1" spans="2:24">
      <c r="B23" s="48"/>
      <c r="C23" s="6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17"/>
    </row>
    <row r="24" customHeight="1" spans="2:24">
      <c r="B24" s="48" t="s">
        <v>312</v>
      </c>
      <c r="C24" s="6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17"/>
    </row>
    <row r="25" customHeight="1" spans="2:24">
      <c r="B25" s="48"/>
      <c r="C25" s="6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17"/>
    </row>
    <row r="26" customHeight="1" spans="2:24">
      <c r="B26" s="48"/>
      <c r="C26" s="6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17"/>
    </row>
    <row r="27" customHeight="1" spans="2:24">
      <c r="B27" s="48" t="s">
        <v>313</v>
      </c>
      <c r="C27" s="6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17"/>
    </row>
    <row r="28" customHeight="1" spans="2:24">
      <c r="B28" s="48"/>
      <c r="C28" s="62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17"/>
    </row>
    <row r="29" customHeight="1" spans="2:24">
      <c r="B29" s="48"/>
      <c r="C29" s="6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17"/>
    </row>
    <row r="30" customHeight="1" spans="2:24">
      <c r="B30" s="48" t="s">
        <v>314</v>
      </c>
      <c r="C30" s="62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17"/>
    </row>
    <row r="31" customHeight="1" spans="2:24">
      <c r="B31" s="48"/>
      <c r="C31" s="6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17"/>
    </row>
    <row r="32" customHeight="1" spans="2:24">
      <c r="B32" s="48"/>
      <c r="C32" s="6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17"/>
    </row>
    <row r="33" customHeight="1" spans="2:24">
      <c r="B33" s="48" t="s">
        <v>315</v>
      </c>
      <c r="C33" s="6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7"/>
    </row>
    <row r="34" customHeight="1" spans="2:24">
      <c r="B34" s="48"/>
      <c r="C34" s="6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7"/>
    </row>
    <row r="35" customHeight="1" spans="2:24">
      <c r="B35" s="48"/>
      <c r="C35" s="6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7"/>
    </row>
    <row r="36" customHeight="1" spans="2:24">
      <c r="B36" s="48" t="s">
        <v>315</v>
      </c>
      <c r="C36" s="6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17"/>
    </row>
    <row r="37" customHeight="1" spans="2:24">
      <c r="B37" s="48"/>
      <c r="C37" s="6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7"/>
    </row>
    <row r="38" customHeight="1" spans="2:24">
      <c r="B38" s="48"/>
      <c r="C38" s="6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17"/>
    </row>
    <row r="39" customHeight="1" spans="2:24">
      <c r="B39" s="48" t="s">
        <v>316</v>
      </c>
      <c r="C39" s="6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7"/>
    </row>
    <row r="40" customHeight="1" spans="2:24">
      <c r="B40" s="48"/>
      <c r="C40" s="6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17"/>
    </row>
    <row r="41" customHeight="1" spans="2:24">
      <c r="B41" s="48"/>
      <c r="C41" s="6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7"/>
    </row>
    <row r="42" customHeight="1" spans="2:24">
      <c r="B42" s="48" t="s">
        <v>317</v>
      </c>
      <c r="C42" s="6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17"/>
    </row>
    <row r="43" customHeight="1" spans="2:24">
      <c r="B43" s="48"/>
      <c r="C43" s="6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17"/>
    </row>
    <row r="44" customHeight="1" spans="2:24">
      <c r="B44" s="48"/>
      <c r="C44" s="6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7"/>
    </row>
    <row r="45" customHeight="1" spans="2:24">
      <c r="B45" s="7" t="s">
        <v>41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7"/>
    </row>
    <row r="46" customHeight="1" spans="2:24"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17"/>
    </row>
    <row r="47" customHeight="1" spans="2:24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17"/>
    </row>
    <row r="48" customHeight="1" spans="2:24">
      <c r="B48" s="7" t="s">
        <v>41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17"/>
    </row>
    <row r="49" customHeight="1" spans="2:24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17"/>
    </row>
    <row r="50" customHeight="1" spans="2:24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17"/>
    </row>
    <row r="51" customHeight="1" spans="2:24">
      <c r="B51" s="7" t="s">
        <v>41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17"/>
    </row>
    <row r="52" customHeight="1" spans="2:24"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17"/>
    </row>
    <row r="53" customHeight="1" spans="2:24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17"/>
    </row>
    <row r="54" customHeight="1" spans="2:24">
      <c r="B54" s="7" t="s">
        <v>41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17"/>
    </row>
    <row r="55" customHeight="1" spans="2:24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17"/>
    </row>
    <row r="56" customHeight="1" spans="2:24"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17"/>
    </row>
    <row r="57" customHeight="1" spans="2:24">
      <c r="B57" s="7" t="s">
        <v>41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17"/>
    </row>
    <row r="58" customHeight="1" spans="2:24"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17"/>
    </row>
    <row r="59" customHeight="1" spans="2:24"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17"/>
    </row>
    <row r="60" customHeight="1" spans="2:24">
      <c r="B60" s="7" t="s">
        <v>41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17"/>
    </row>
    <row r="61" customHeight="1" spans="2:24"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17"/>
    </row>
    <row r="62" customHeight="1" spans="2:24"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17"/>
    </row>
    <row r="63" customHeight="1" spans="2:24">
      <c r="B63" s="7" t="s">
        <v>41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17"/>
    </row>
    <row r="64" customHeight="1" spans="2:24"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17"/>
    </row>
    <row r="65" customHeight="1" spans="2:24"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17"/>
    </row>
    <row r="66" customHeight="1" spans="2:24">
      <c r="B66" s="7" t="s">
        <v>41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17"/>
    </row>
    <row r="67" customHeight="1" spans="2:24"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17"/>
    </row>
    <row r="68" customHeight="1" spans="2:24"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17"/>
    </row>
    <row r="69" customHeight="1" spans="2:24">
      <c r="B69" s="7" t="s">
        <v>41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17"/>
    </row>
    <row r="70" customHeight="1" spans="2:24"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17"/>
    </row>
    <row r="71" customHeight="1" spans="2:24"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7"/>
    </row>
    <row r="72" customHeight="1" spans="2:24">
      <c r="B72" s="7" t="s">
        <v>41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17"/>
    </row>
    <row r="73" customHeight="1" spans="2:24"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17"/>
    </row>
    <row r="74" customHeight="1" spans="2:24"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17"/>
    </row>
    <row r="75" customHeight="1" spans="2:24">
      <c r="B75" s="7" t="s">
        <v>41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17"/>
    </row>
    <row r="76" customHeight="1" spans="2:24"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17"/>
    </row>
    <row r="77" customHeight="1" spans="2:24"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17"/>
    </row>
    <row r="78" customHeight="1" spans="2:24">
      <c r="B78" s="7" t="s">
        <v>41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17"/>
    </row>
    <row r="79" customHeight="1" spans="2:24"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17"/>
    </row>
    <row r="80" customHeight="1" spans="2:24"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17"/>
    </row>
    <row r="81" customHeight="1" spans="2:24">
      <c r="B81" s="7" t="s">
        <v>41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17"/>
    </row>
    <row r="82" customHeight="1" spans="2:24"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17"/>
    </row>
    <row r="83" customHeight="1" spans="2:24"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17"/>
    </row>
    <row r="84" customHeight="1" spans="2:24">
      <c r="B84" s="7" t="s">
        <v>41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17"/>
    </row>
    <row r="85" customHeight="1" spans="2:24"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17"/>
    </row>
    <row r="86" customHeight="1" spans="2:24"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17"/>
    </row>
    <row r="87" customHeight="1" spans="2:24">
      <c r="B87" s="7" t="s">
        <v>41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17"/>
    </row>
    <row r="88" customHeight="1" spans="2:24"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17"/>
    </row>
    <row r="89" customHeight="1" spans="2:24"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17"/>
    </row>
    <row r="90" customHeight="1" spans="2:24">
      <c r="B90" s="7" t="s">
        <v>41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17"/>
    </row>
    <row r="91" customHeight="1" spans="2:24"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17"/>
    </row>
    <row r="92" customHeight="1" spans="2:24"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8"/>
    </row>
  </sheetData>
  <mergeCells count="126">
    <mergeCell ref="B2:C2"/>
    <mergeCell ref="D2:F2"/>
    <mergeCell ref="G2:V2"/>
    <mergeCell ref="W2:X2"/>
    <mergeCell ref="Z2:AB2"/>
    <mergeCell ref="B3:C5"/>
    <mergeCell ref="D3:F5"/>
    <mergeCell ref="G3:V5"/>
    <mergeCell ref="B6:C8"/>
    <mergeCell ref="D6:F8"/>
    <mergeCell ref="G6:V8"/>
    <mergeCell ref="B9:C11"/>
    <mergeCell ref="B12:C14"/>
    <mergeCell ref="B15:C17"/>
    <mergeCell ref="B18:C20"/>
    <mergeCell ref="B21:C23"/>
    <mergeCell ref="B24:C26"/>
    <mergeCell ref="B27:C29"/>
    <mergeCell ref="B30:C32"/>
    <mergeCell ref="B33:C35"/>
    <mergeCell ref="B39:C41"/>
    <mergeCell ref="B42:C44"/>
    <mergeCell ref="B45:C47"/>
    <mergeCell ref="D9:F11"/>
    <mergeCell ref="D12:F14"/>
    <mergeCell ref="D15:F17"/>
    <mergeCell ref="D18:F20"/>
    <mergeCell ref="D21:F23"/>
    <mergeCell ref="D24:F26"/>
    <mergeCell ref="D27:F29"/>
    <mergeCell ref="D30:F32"/>
    <mergeCell ref="D33:F35"/>
    <mergeCell ref="D39:F41"/>
    <mergeCell ref="D42:F44"/>
    <mergeCell ref="D45:F47"/>
    <mergeCell ref="G9:V11"/>
    <mergeCell ref="G12:V14"/>
    <mergeCell ref="G15:V17"/>
    <mergeCell ref="G18:V20"/>
    <mergeCell ref="G21:V23"/>
    <mergeCell ref="G24:V26"/>
    <mergeCell ref="G27:V29"/>
    <mergeCell ref="G30:V32"/>
    <mergeCell ref="G33:V35"/>
    <mergeCell ref="G39:V41"/>
    <mergeCell ref="G42:V44"/>
    <mergeCell ref="G45:V47"/>
    <mergeCell ref="B48:C50"/>
    <mergeCell ref="D48:F50"/>
    <mergeCell ref="G48:V50"/>
    <mergeCell ref="B36:C38"/>
    <mergeCell ref="D36:F38"/>
    <mergeCell ref="G36:V38"/>
    <mergeCell ref="B51:C53"/>
    <mergeCell ref="B54:C56"/>
    <mergeCell ref="B57:C59"/>
    <mergeCell ref="B60:C62"/>
    <mergeCell ref="B63:C65"/>
    <mergeCell ref="D51:F53"/>
    <mergeCell ref="D54:F56"/>
    <mergeCell ref="D57:F59"/>
    <mergeCell ref="D60:F62"/>
    <mergeCell ref="D63:F65"/>
    <mergeCell ref="G51:V53"/>
    <mergeCell ref="G54:V56"/>
    <mergeCell ref="G57:V59"/>
    <mergeCell ref="G60:V62"/>
    <mergeCell ref="G63:V65"/>
    <mergeCell ref="B66:C68"/>
    <mergeCell ref="B69:C71"/>
    <mergeCell ref="B72:C74"/>
    <mergeCell ref="B75:C77"/>
    <mergeCell ref="B78:C80"/>
    <mergeCell ref="B81:C83"/>
    <mergeCell ref="B84:C86"/>
    <mergeCell ref="B87:C89"/>
    <mergeCell ref="B90:C92"/>
    <mergeCell ref="D66:F68"/>
    <mergeCell ref="D69:F71"/>
    <mergeCell ref="D72:F74"/>
    <mergeCell ref="D75:F77"/>
    <mergeCell ref="D78:F80"/>
    <mergeCell ref="D81:F83"/>
    <mergeCell ref="D84:F86"/>
    <mergeCell ref="D87:F89"/>
    <mergeCell ref="D90:F92"/>
    <mergeCell ref="G66:V68"/>
    <mergeCell ref="G69:V71"/>
    <mergeCell ref="G72:V74"/>
    <mergeCell ref="G75:V77"/>
    <mergeCell ref="G78:V80"/>
    <mergeCell ref="G81:V83"/>
    <mergeCell ref="G84:V86"/>
    <mergeCell ref="G87:V89"/>
    <mergeCell ref="G90:V92"/>
    <mergeCell ref="W3:X5"/>
    <mergeCell ref="W6:X8"/>
    <mergeCell ref="W9:X11"/>
    <mergeCell ref="W12:X14"/>
    <mergeCell ref="W15:X17"/>
    <mergeCell ref="W18:X20"/>
    <mergeCell ref="W21:X23"/>
    <mergeCell ref="W24:X26"/>
    <mergeCell ref="W27:X29"/>
    <mergeCell ref="W30:X32"/>
    <mergeCell ref="W33:X35"/>
    <mergeCell ref="W36:X38"/>
    <mergeCell ref="W39:X41"/>
    <mergeCell ref="W42:X44"/>
    <mergeCell ref="W45:X47"/>
    <mergeCell ref="W48:X50"/>
    <mergeCell ref="W51:X53"/>
    <mergeCell ref="W54:X56"/>
    <mergeCell ref="W57:X59"/>
    <mergeCell ref="W60:X62"/>
    <mergeCell ref="W63:X65"/>
    <mergeCell ref="W66:X68"/>
    <mergeCell ref="W69:X71"/>
    <mergeCell ref="W72:X74"/>
    <mergeCell ref="W75:X77"/>
    <mergeCell ref="W78:X80"/>
    <mergeCell ref="W81:X83"/>
    <mergeCell ref="W84:X86"/>
    <mergeCell ref="W87:X89"/>
    <mergeCell ref="W90:X92"/>
    <mergeCell ref="Z3:AB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K804"/>
  <sheetViews>
    <sheetView topLeftCell="C1" workbookViewId="0">
      <selection activeCell="N7" sqref="N7:Q8"/>
    </sheetView>
  </sheetViews>
  <sheetFormatPr defaultColWidth="4.775" defaultRowHeight="16" customHeight="1"/>
  <cols>
    <col min="1" max="16384" width="4.775" style="19" customWidth="1"/>
  </cols>
  <sheetData>
    <row r="2" customHeight="1" spans="2:37">
      <c r="B2" s="45" t="s">
        <v>318</v>
      </c>
      <c r="C2" s="47"/>
      <c r="D2" s="46" t="s">
        <v>319</v>
      </c>
      <c r="E2" s="46"/>
      <c r="F2" s="46"/>
      <c r="G2" s="46"/>
      <c r="H2" s="46"/>
      <c r="I2" s="47"/>
      <c r="J2" s="46" t="s">
        <v>320</v>
      </c>
      <c r="K2" s="46"/>
      <c r="L2" s="46"/>
      <c r="M2" s="47"/>
      <c r="N2" s="46" t="s">
        <v>321</v>
      </c>
      <c r="O2" s="46"/>
      <c r="P2" s="46"/>
      <c r="Q2" s="47"/>
      <c r="R2" s="46" t="s">
        <v>322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59"/>
    </row>
    <row r="3" customHeight="1" spans="2:37">
      <c r="B3" s="48" t="s">
        <v>323</v>
      </c>
      <c r="C3" s="49"/>
      <c r="D3" s="50">
        <v>2</v>
      </c>
      <c r="E3" s="50"/>
      <c r="F3" s="50"/>
      <c r="G3" s="50"/>
      <c r="H3" s="50"/>
      <c r="I3" s="50"/>
      <c r="J3" s="49">
        <v>1650</v>
      </c>
      <c r="K3" s="49"/>
      <c r="L3" s="49"/>
      <c r="M3" s="49"/>
      <c r="N3" s="49">
        <v>19</v>
      </c>
      <c r="O3" s="49"/>
      <c r="P3" s="49"/>
      <c r="Q3" s="49"/>
      <c r="R3" s="49" t="s">
        <v>324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60"/>
    </row>
    <row r="4" customHeight="1" spans="2:37">
      <c r="B4" s="48"/>
      <c r="C4" s="49"/>
      <c r="D4" s="50"/>
      <c r="E4" s="50"/>
      <c r="F4" s="50"/>
      <c r="G4" s="50"/>
      <c r="H4" s="50"/>
      <c r="I4" s="50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60"/>
    </row>
    <row r="5" customHeight="1" spans="2:37">
      <c r="B5" s="48" t="s">
        <v>325</v>
      </c>
      <c r="C5" s="49"/>
      <c r="D5" s="50">
        <f>D3-D7</f>
        <v>0</v>
      </c>
      <c r="E5" s="50"/>
      <c r="F5" s="50"/>
      <c r="G5" s="50"/>
      <c r="H5" s="50"/>
      <c r="I5" s="50"/>
      <c r="J5" s="49">
        <f>J3-J7</f>
        <v>0</v>
      </c>
      <c r="K5" s="49"/>
      <c r="L5" s="49"/>
      <c r="M5" s="49"/>
      <c r="N5" s="49">
        <f>N3-N7</f>
        <v>-5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60"/>
    </row>
    <row r="6" customHeight="1" spans="2:37">
      <c r="B6" s="48"/>
      <c r="C6" s="49"/>
      <c r="D6" s="50"/>
      <c r="E6" s="50"/>
      <c r="F6" s="50"/>
      <c r="G6" s="50"/>
      <c r="H6" s="50"/>
      <c r="I6" s="50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60"/>
    </row>
    <row r="7" customHeight="1" spans="2:37">
      <c r="B7" s="48" t="s">
        <v>326</v>
      </c>
      <c r="C7" s="49"/>
      <c r="D7" s="50">
        <v>2</v>
      </c>
      <c r="E7" s="50"/>
      <c r="F7" s="50"/>
      <c r="G7" s="50"/>
      <c r="H7" s="50"/>
      <c r="I7" s="50"/>
      <c r="J7" s="49">
        <v>1650</v>
      </c>
      <c r="K7" s="49"/>
      <c r="L7" s="49"/>
      <c r="M7" s="49"/>
      <c r="N7" s="49">
        <v>24</v>
      </c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60"/>
    </row>
    <row r="8" customHeight="1" spans="2:37">
      <c r="B8" s="48"/>
      <c r="C8" s="49"/>
      <c r="D8" s="50"/>
      <c r="E8" s="50"/>
      <c r="F8" s="50"/>
      <c r="G8" s="50"/>
      <c r="H8" s="50"/>
      <c r="I8" s="50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60"/>
    </row>
    <row r="9" customHeight="1" spans="2:37">
      <c r="B9" s="7"/>
      <c r="C9" s="1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5"/>
    </row>
    <row r="10" customHeight="1" spans="2:37">
      <c r="B10" s="7"/>
      <c r="C10" s="1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5"/>
    </row>
    <row r="11" customHeight="1" spans="2:37">
      <c r="B11" s="7"/>
      <c r="C11" s="1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5"/>
    </row>
    <row r="12" customHeight="1" spans="2:37">
      <c r="B12" s="7"/>
      <c r="C12" s="1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5"/>
    </row>
    <row r="13" customHeight="1" spans="2:37">
      <c r="B13" s="7"/>
      <c r="C13" s="1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5"/>
    </row>
    <row r="14" customHeight="1" spans="2:37">
      <c r="B14" s="7"/>
      <c r="C14" s="1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5"/>
    </row>
    <row r="15" customHeight="1" spans="2:37">
      <c r="B15" s="7"/>
      <c r="C15" s="1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5"/>
    </row>
    <row r="16" customHeight="1" spans="2:37">
      <c r="B16" s="7"/>
      <c r="C16" s="1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5"/>
    </row>
    <row r="17" customHeight="1" spans="2:37">
      <c r="B17" s="7"/>
      <c r="C17" s="1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5"/>
    </row>
    <row r="18" customHeight="1" spans="2:37">
      <c r="B18" s="7"/>
      <c r="C18" s="1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5"/>
    </row>
    <row r="19" customHeight="1" spans="2:37">
      <c r="B19" s="7"/>
      <c r="C19" s="1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5"/>
    </row>
    <row r="20" customHeight="1" spans="2:37">
      <c r="B20" s="7"/>
      <c r="C20" s="1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5"/>
    </row>
    <row r="21" customHeight="1" spans="2:37">
      <c r="B21" s="7"/>
      <c r="C21" s="1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5"/>
    </row>
    <row r="22" customHeight="1" spans="2:37">
      <c r="B22" s="7"/>
      <c r="C22" s="1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5"/>
    </row>
    <row r="23" customHeight="1" spans="2:37">
      <c r="B23" s="7"/>
      <c r="C23" s="1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5"/>
    </row>
    <row r="24" customHeight="1" spans="2:37">
      <c r="B24" s="7"/>
      <c r="C24" s="1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5"/>
    </row>
    <row r="25" customHeight="1" spans="2:37">
      <c r="B25" s="7"/>
      <c r="C25" s="1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5"/>
    </row>
    <row r="26" customHeight="1" spans="2:37">
      <c r="B26" s="7"/>
      <c r="C26" s="1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5"/>
    </row>
    <row r="27" customHeight="1" spans="2:37">
      <c r="B27" s="7"/>
      <c r="C27" s="1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5"/>
    </row>
    <row r="28" customHeight="1" spans="2:37">
      <c r="B28" s="7"/>
      <c r="C28" s="1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5"/>
    </row>
    <row r="29" customHeight="1" spans="2:37">
      <c r="B29" s="7"/>
      <c r="C29" s="1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5"/>
    </row>
    <row r="30" customHeight="1" spans="2:37">
      <c r="B30" s="7"/>
      <c r="C30" s="1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5"/>
    </row>
    <row r="31" customHeight="1" spans="2:37">
      <c r="B31" s="7"/>
      <c r="C31" s="1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5"/>
    </row>
    <row r="32" customHeight="1" spans="2:37">
      <c r="B32" s="7"/>
      <c r="C32" s="1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5"/>
    </row>
    <row r="33" customHeight="1" spans="2:37">
      <c r="B33" s="7"/>
      <c r="C33" s="1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5"/>
    </row>
    <row r="34" customHeight="1" spans="2:37">
      <c r="B34" s="7"/>
      <c r="C34" s="1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5"/>
    </row>
    <row r="35" customHeight="1" spans="2:37">
      <c r="B35" s="7"/>
      <c r="C35" s="1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5"/>
    </row>
    <row r="36" customHeight="1" spans="2:37">
      <c r="B36" s="7"/>
      <c r="C36" s="1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5"/>
    </row>
    <row r="37" customHeight="1" spans="2:37">
      <c r="B37" s="7"/>
      <c r="C37" s="1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5"/>
    </row>
    <row r="38" customHeight="1" spans="2:37">
      <c r="B38" s="7"/>
      <c r="C38" s="1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5"/>
    </row>
    <row r="39" customHeight="1" spans="2:37">
      <c r="B39" s="7"/>
      <c r="C39" s="1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5"/>
    </row>
    <row r="40" customHeight="1" spans="2:37">
      <c r="B40" s="7"/>
      <c r="C40" s="1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5"/>
    </row>
    <row r="41" customHeight="1" spans="2:37">
      <c r="B41" s="7"/>
      <c r="C41" s="1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5"/>
    </row>
    <row r="42" customHeight="1" spans="2:37">
      <c r="B42" s="7"/>
      <c r="C42" s="1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5"/>
    </row>
    <row r="43" customHeight="1" spans="2:37">
      <c r="B43" s="7"/>
      <c r="C43" s="1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5"/>
    </row>
    <row r="44" customHeight="1" spans="2:37">
      <c r="B44" s="7"/>
      <c r="C44" s="1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5"/>
    </row>
    <row r="45" customHeight="1" spans="2:37">
      <c r="B45" s="7"/>
      <c r="C45" s="1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5"/>
    </row>
    <row r="46" customHeight="1" spans="2:37">
      <c r="B46" s="7"/>
      <c r="C46" s="1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5"/>
    </row>
    <row r="47" customHeight="1" spans="2:37">
      <c r="B47" s="7"/>
      <c r="C47" s="1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5"/>
    </row>
    <row r="48" customHeight="1" spans="2:37">
      <c r="B48" s="7"/>
      <c r="C48" s="1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5"/>
    </row>
    <row r="49" customHeight="1" spans="2:37">
      <c r="B49" s="7"/>
      <c r="C49" s="1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5"/>
    </row>
    <row r="50" customHeight="1" spans="2:37">
      <c r="B50" s="7"/>
      <c r="C50" s="1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5"/>
    </row>
    <row r="51" customHeight="1" spans="2:37">
      <c r="B51" s="7"/>
      <c r="C51" s="1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5"/>
    </row>
    <row r="52" customHeight="1" spans="2:37">
      <c r="B52" s="7"/>
      <c r="C52" s="1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5"/>
    </row>
    <row r="53" customHeight="1" spans="2:37">
      <c r="B53" s="7"/>
      <c r="C53" s="1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5"/>
    </row>
    <row r="54" customHeight="1" spans="2:37">
      <c r="B54" s="7"/>
      <c r="C54" s="1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5"/>
    </row>
    <row r="55" customHeight="1" spans="2:37">
      <c r="B55" s="7"/>
      <c r="C55" s="1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5"/>
    </row>
    <row r="56" customHeight="1" spans="2:37">
      <c r="B56" s="7"/>
      <c r="C56" s="1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5"/>
    </row>
    <row r="57" customHeight="1" spans="2:37">
      <c r="B57" s="7"/>
      <c r="C57" s="1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5"/>
    </row>
    <row r="58" customHeight="1" spans="2:37">
      <c r="B58" s="7"/>
      <c r="C58" s="1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5"/>
    </row>
    <row r="59" customHeight="1" spans="2:37">
      <c r="B59" s="7"/>
      <c r="C59" s="1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5"/>
    </row>
    <row r="60" customHeight="1" spans="2:37">
      <c r="B60" s="7"/>
      <c r="C60" s="1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5"/>
    </row>
    <row r="61" customHeight="1" spans="2:37">
      <c r="B61" s="7"/>
      <c r="C61" s="1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5"/>
    </row>
    <row r="62" customHeight="1" spans="2:37">
      <c r="B62" s="7"/>
      <c r="C62" s="1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5"/>
    </row>
    <row r="63" customHeight="1" spans="2:37">
      <c r="B63" s="7"/>
      <c r="C63" s="1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5"/>
    </row>
    <row r="64" customHeight="1" spans="2:37">
      <c r="B64" s="7"/>
      <c r="C64" s="1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5"/>
    </row>
    <row r="65" customHeight="1" spans="2:37">
      <c r="B65" s="7"/>
      <c r="C65" s="1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5"/>
    </row>
    <row r="66" customHeight="1" spans="2:37">
      <c r="B66" s="7"/>
      <c r="C66" s="1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5"/>
    </row>
    <row r="67" customHeight="1" spans="2:37">
      <c r="B67" s="7"/>
      <c r="C67" s="1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5"/>
    </row>
    <row r="68" customHeight="1" spans="2:37">
      <c r="B68" s="7"/>
      <c r="C68" s="1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5"/>
    </row>
    <row r="69" customHeight="1" spans="2:37">
      <c r="B69" s="7"/>
      <c r="C69" s="1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5"/>
    </row>
    <row r="70" customHeight="1" spans="2:37">
      <c r="B70" s="7"/>
      <c r="C70" s="1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5"/>
    </row>
    <row r="71" customHeight="1" spans="2:37">
      <c r="B71" s="7"/>
      <c r="C71" s="1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5"/>
    </row>
    <row r="72" customHeight="1" spans="2:37">
      <c r="B72" s="7"/>
      <c r="C72" s="1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5"/>
    </row>
    <row r="73" customHeight="1" spans="2:37">
      <c r="B73" s="7"/>
      <c r="C73" s="1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5"/>
    </row>
    <row r="74" customHeight="1" spans="2:37">
      <c r="B74" s="7"/>
      <c r="C74" s="1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5"/>
    </row>
    <row r="75" customHeight="1" spans="2:37">
      <c r="B75" s="7"/>
      <c r="C75" s="1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5"/>
    </row>
    <row r="76" customHeight="1" spans="2:37">
      <c r="B76" s="7"/>
      <c r="C76" s="1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5"/>
    </row>
    <row r="77" customHeight="1" spans="2:37">
      <c r="B77" s="7"/>
      <c r="C77" s="1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5"/>
    </row>
    <row r="78" customHeight="1" spans="2:37">
      <c r="B78" s="7"/>
      <c r="C78" s="1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5"/>
    </row>
    <row r="79" customHeight="1" spans="2:37">
      <c r="B79" s="7"/>
      <c r="C79" s="1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5"/>
    </row>
    <row r="80" customHeight="1" spans="2:37">
      <c r="B80" s="7"/>
      <c r="C80" s="1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5"/>
    </row>
    <row r="81" customHeight="1" spans="2:37">
      <c r="B81" s="7"/>
      <c r="C81" s="1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5"/>
    </row>
    <row r="82" customHeight="1" spans="2:37">
      <c r="B82" s="7"/>
      <c r="C82" s="1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5"/>
    </row>
    <row r="83" customHeight="1" spans="2:37">
      <c r="B83" s="7"/>
      <c r="C83" s="1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5"/>
    </row>
    <row r="84" customHeight="1" spans="2:37">
      <c r="B84" s="7"/>
      <c r="C84" s="1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5"/>
    </row>
    <row r="85" customHeight="1" spans="2:37">
      <c r="B85" s="7"/>
      <c r="C85" s="1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5"/>
    </row>
    <row r="86" customHeight="1" spans="2:37">
      <c r="B86" s="7"/>
      <c r="C86" s="1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5"/>
    </row>
    <row r="87" customHeight="1" spans="2:37">
      <c r="B87" s="7"/>
      <c r="C87" s="1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5"/>
    </row>
    <row r="88" customHeight="1" spans="2:37">
      <c r="B88" s="7"/>
      <c r="C88" s="1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5"/>
    </row>
    <row r="89" customHeight="1" spans="2:37">
      <c r="B89" s="7"/>
      <c r="C89" s="1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5"/>
    </row>
    <row r="90" customHeight="1" spans="2:37">
      <c r="B90" s="7"/>
      <c r="C90" s="1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5"/>
    </row>
    <row r="91" customHeight="1" spans="2:37">
      <c r="B91" s="7"/>
      <c r="C91" s="1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5"/>
    </row>
    <row r="92" customHeight="1" spans="2:37">
      <c r="B92" s="7"/>
      <c r="C92" s="1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5"/>
    </row>
    <row r="93" customHeight="1" spans="2:37">
      <c r="B93" s="7"/>
      <c r="C93" s="1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5"/>
    </row>
    <row r="94" customHeight="1" spans="2:37">
      <c r="B94" s="7"/>
      <c r="C94" s="1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5"/>
    </row>
    <row r="95" customHeight="1" spans="2:37">
      <c r="B95" s="7"/>
      <c r="C95" s="1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5"/>
    </row>
    <row r="96" customHeight="1" spans="2:37">
      <c r="B96" s="7"/>
      <c r="C96" s="1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5"/>
    </row>
    <row r="97" customHeight="1" spans="2:37">
      <c r="B97" s="7"/>
      <c r="C97" s="1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5"/>
    </row>
    <row r="98" customHeight="1" spans="2:37">
      <c r="B98" s="7"/>
      <c r="C98" s="1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5"/>
    </row>
    <row r="99" customHeight="1" spans="2:37">
      <c r="B99" s="7"/>
      <c r="C99" s="1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5"/>
    </row>
    <row r="100" customHeight="1" spans="2:37">
      <c r="B100" s="7"/>
      <c r="C100" s="1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5"/>
    </row>
    <row r="101" customHeight="1" spans="2:37">
      <c r="B101" s="7"/>
      <c r="C101" s="1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5"/>
    </row>
    <row r="102" customHeight="1" spans="2:37">
      <c r="B102" s="7"/>
      <c r="C102" s="1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5"/>
    </row>
    <row r="103" customHeight="1" spans="2:37">
      <c r="B103" s="7"/>
      <c r="C103" s="1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5"/>
    </row>
    <row r="104" customHeight="1" spans="2:37">
      <c r="B104" s="7"/>
      <c r="C104" s="1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5"/>
    </row>
    <row r="105" customHeight="1" spans="2:37">
      <c r="B105" s="7"/>
      <c r="C105" s="1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5"/>
    </row>
    <row r="106" customHeight="1" spans="2:37">
      <c r="B106" s="7"/>
      <c r="C106" s="1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5"/>
    </row>
    <row r="107" customHeight="1" spans="2:37">
      <c r="B107" s="7"/>
      <c r="C107" s="1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5"/>
    </row>
    <row r="108" customHeight="1" spans="2:37">
      <c r="B108" s="7"/>
      <c r="C108" s="1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5"/>
    </row>
    <row r="109" customHeight="1" spans="2:37">
      <c r="B109" s="7"/>
      <c r="C109" s="1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5"/>
    </row>
    <row r="110" customHeight="1" spans="2:37">
      <c r="B110" s="7"/>
      <c r="C110" s="1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5"/>
    </row>
    <row r="111" customHeight="1" spans="2:37">
      <c r="B111" s="7"/>
      <c r="C111" s="1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5"/>
    </row>
    <row r="112" customHeight="1" spans="2:37">
      <c r="B112" s="7"/>
      <c r="C112" s="1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5"/>
    </row>
    <row r="113" customHeight="1" spans="2:37">
      <c r="B113" s="7"/>
      <c r="C113" s="1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5"/>
    </row>
    <row r="114" customHeight="1" spans="2:37">
      <c r="B114" s="7"/>
      <c r="C114" s="1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5"/>
    </row>
    <row r="115" customHeight="1" spans="2:37">
      <c r="B115" s="7"/>
      <c r="C115" s="1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5"/>
    </row>
    <row r="116" customHeight="1" spans="2:37">
      <c r="B116" s="7"/>
      <c r="C116" s="1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5"/>
    </row>
    <row r="117" customHeight="1" spans="2:37">
      <c r="B117" s="7"/>
      <c r="C117" s="1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5"/>
    </row>
    <row r="118" customHeight="1" spans="2:37">
      <c r="B118" s="7"/>
      <c r="C118" s="1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5"/>
    </row>
    <row r="119" customHeight="1" spans="2:37">
      <c r="B119" s="7"/>
      <c r="C119" s="1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5"/>
    </row>
    <row r="120" customHeight="1" spans="2:37">
      <c r="B120" s="7"/>
      <c r="C120" s="1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5"/>
    </row>
    <row r="121" customHeight="1" spans="2:37">
      <c r="B121" s="7"/>
      <c r="C121" s="1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5"/>
    </row>
    <row r="122" customHeight="1" spans="2:37">
      <c r="B122" s="7"/>
      <c r="C122" s="1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5"/>
    </row>
    <row r="123" customHeight="1" spans="2:37">
      <c r="B123" s="7"/>
      <c r="C123" s="1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5"/>
    </row>
    <row r="124" customHeight="1" spans="2:37">
      <c r="B124" s="7"/>
      <c r="C124" s="1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5"/>
    </row>
    <row r="125" customHeight="1" spans="2:37">
      <c r="B125" s="7"/>
      <c r="C125" s="1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5"/>
    </row>
    <row r="126" customHeight="1" spans="2:37">
      <c r="B126" s="7"/>
      <c r="C126" s="1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5"/>
    </row>
    <row r="127" customHeight="1" spans="2:37">
      <c r="B127" s="7"/>
      <c r="C127" s="1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5"/>
    </row>
    <row r="128" customHeight="1" spans="2:37">
      <c r="B128" s="7"/>
      <c r="C128" s="1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5"/>
    </row>
    <row r="129" customHeight="1" spans="2:37">
      <c r="B129" s="7"/>
      <c r="C129" s="1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5"/>
    </row>
    <row r="130" customHeight="1" spans="2:37">
      <c r="B130" s="7"/>
      <c r="C130" s="1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5"/>
    </row>
    <row r="131" customHeight="1" spans="2:37">
      <c r="B131" s="7"/>
      <c r="C131" s="1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5"/>
    </row>
    <row r="132" customHeight="1" spans="2:37">
      <c r="B132" s="7"/>
      <c r="C132" s="1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5"/>
    </row>
    <row r="133" customHeight="1" spans="2:37">
      <c r="B133" s="7"/>
      <c r="C133" s="1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5"/>
    </row>
    <row r="134" customHeight="1" spans="2:37">
      <c r="B134" s="7"/>
      <c r="C134" s="1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5"/>
    </row>
    <row r="135" customHeight="1" spans="2:37">
      <c r="B135" s="7"/>
      <c r="C135" s="1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5"/>
    </row>
    <row r="136" customHeight="1" spans="2:37">
      <c r="B136" s="7"/>
      <c r="C136" s="1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5"/>
    </row>
    <row r="137" customHeight="1" spans="2:37">
      <c r="B137" s="7"/>
      <c r="C137" s="1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5"/>
    </row>
    <row r="138" customHeight="1" spans="2:37">
      <c r="B138" s="7"/>
      <c r="C138" s="1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5"/>
    </row>
    <row r="139" customHeight="1" spans="2:37">
      <c r="B139" s="7"/>
      <c r="C139" s="1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5"/>
    </row>
    <row r="140" customHeight="1" spans="2:37">
      <c r="B140" s="7"/>
      <c r="C140" s="1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5"/>
    </row>
    <row r="141" customHeight="1" spans="2:37">
      <c r="B141" s="7"/>
      <c r="C141" s="1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5"/>
    </row>
    <row r="142" customHeight="1" spans="2:37">
      <c r="B142" s="7"/>
      <c r="C142" s="1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5"/>
    </row>
    <row r="143" customHeight="1" spans="2:37">
      <c r="B143" s="7"/>
      <c r="C143" s="1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5"/>
    </row>
    <row r="144" customHeight="1" spans="2:37">
      <c r="B144" s="7"/>
      <c r="C144" s="1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5"/>
    </row>
    <row r="145" customHeight="1" spans="2:37">
      <c r="B145" s="7"/>
      <c r="C145" s="1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5"/>
    </row>
    <row r="146" customHeight="1" spans="2:37">
      <c r="B146" s="7"/>
      <c r="C146" s="1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5"/>
    </row>
    <row r="147" customHeight="1" spans="2:37">
      <c r="B147" s="7"/>
      <c r="C147" s="1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5"/>
    </row>
    <row r="148" customHeight="1" spans="2:37">
      <c r="B148" s="7"/>
      <c r="C148" s="1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5"/>
    </row>
    <row r="149" customHeight="1" spans="2:37">
      <c r="B149" s="7"/>
      <c r="C149" s="1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5"/>
    </row>
    <row r="150" customHeight="1" spans="2:37">
      <c r="B150" s="7"/>
      <c r="C150" s="1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5"/>
    </row>
    <row r="151" customHeight="1" spans="2:37">
      <c r="B151" s="7"/>
      <c r="C151" s="1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5"/>
    </row>
    <row r="152" customHeight="1" spans="2:37">
      <c r="B152" s="7"/>
      <c r="C152" s="1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5"/>
    </row>
    <row r="153" customHeight="1" spans="2:37">
      <c r="B153" s="7"/>
      <c r="C153" s="1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5"/>
    </row>
    <row r="154" customHeight="1" spans="2:37">
      <c r="B154" s="7"/>
      <c r="C154" s="1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5"/>
    </row>
    <row r="155" customHeight="1" spans="2:37">
      <c r="B155" s="7"/>
      <c r="C155" s="1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5"/>
    </row>
    <row r="156" customHeight="1" spans="2:37">
      <c r="B156" s="7"/>
      <c r="C156" s="1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5"/>
    </row>
    <row r="157" customHeight="1" spans="2:37">
      <c r="B157" s="7"/>
      <c r="C157" s="1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5"/>
    </row>
    <row r="158" customHeight="1" spans="2:37">
      <c r="B158" s="7"/>
      <c r="C158" s="1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5"/>
    </row>
    <row r="159" customHeight="1" spans="2:37">
      <c r="B159" s="7"/>
      <c r="C159" s="1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5"/>
    </row>
    <row r="160" customHeight="1" spans="2:37">
      <c r="B160" s="7"/>
      <c r="C160" s="1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5"/>
    </row>
    <row r="161" customHeight="1" spans="2:37">
      <c r="B161" s="7"/>
      <c r="C161" s="1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5"/>
    </row>
    <row r="162" customHeight="1" spans="2:37">
      <c r="B162" s="7"/>
      <c r="C162" s="1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5"/>
    </row>
    <row r="163" customHeight="1" spans="2:37">
      <c r="B163" s="7"/>
      <c r="C163" s="1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5"/>
    </row>
    <row r="164" customHeight="1" spans="2:37">
      <c r="B164" s="7"/>
      <c r="C164" s="1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5"/>
    </row>
    <row r="165" customHeight="1" spans="2:37">
      <c r="B165" s="7"/>
      <c r="C165" s="1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5"/>
    </row>
    <row r="166" customHeight="1" spans="2:37">
      <c r="B166" s="7"/>
      <c r="C166" s="1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5"/>
    </row>
    <row r="167" customHeight="1" spans="2:37">
      <c r="B167" s="7"/>
      <c r="C167" s="1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5"/>
    </row>
    <row r="168" customHeight="1" spans="2:37">
      <c r="B168" s="7"/>
      <c r="C168" s="1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5"/>
    </row>
    <row r="169" customHeight="1" spans="2:37">
      <c r="B169" s="7"/>
      <c r="C169" s="1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5"/>
    </row>
    <row r="170" customHeight="1" spans="2:37">
      <c r="B170" s="7"/>
      <c r="C170" s="1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5"/>
    </row>
    <row r="171" customHeight="1" spans="2:37">
      <c r="B171" s="7"/>
      <c r="C171" s="1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5"/>
    </row>
    <row r="172" customHeight="1" spans="2:37">
      <c r="B172" s="7"/>
      <c r="C172" s="1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5"/>
    </row>
    <row r="173" customHeight="1" spans="2:37">
      <c r="B173" s="7"/>
      <c r="C173" s="1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5"/>
    </row>
    <row r="174" customHeight="1" spans="2:37">
      <c r="B174" s="7"/>
      <c r="C174" s="1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5"/>
    </row>
    <row r="175" customHeight="1" spans="2:37">
      <c r="B175" s="7"/>
      <c r="C175" s="1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5"/>
    </row>
    <row r="176" customHeight="1" spans="2:37">
      <c r="B176" s="7"/>
      <c r="C176" s="1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5"/>
    </row>
    <row r="177" customHeight="1" spans="2:37">
      <c r="B177" s="7"/>
      <c r="C177" s="1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5"/>
    </row>
    <row r="178" customHeight="1" spans="2:37">
      <c r="B178" s="7"/>
      <c r="C178" s="1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5"/>
    </row>
    <row r="179" customHeight="1" spans="2:37">
      <c r="B179" s="7"/>
      <c r="C179" s="1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5"/>
    </row>
    <row r="180" customHeight="1" spans="2:37">
      <c r="B180" s="7"/>
      <c r="C180" s="1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5"/>
    </row>
    <row r="181" customHeight="1" spans="2:37">
      <c r="B181" s="7"/>
      <c r="C181" s="1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5"/>
    </row>
    <row r="182" customHeight="1" spans="2:37">
      <c r="B182" s="7"/>
      <c r="C182" s="1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5"/>
    </row>
    <row r="183" customHeight="1" spans="2:37">
      <c r="B183" s="7"/>
      <c r="C183" s="1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5"/>
    </row>
    <row r="184" customHeight="1" spans="2:37">
      <c r="B184" s="7"/>
      <c r="C184" s="1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5"/>
    </row>
    <row r="185" customHeight="1" spans="2:37">
      <c r="B185" s="7"/>
      <c r="C185" s="1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5"/>
    </row>
    <row r="186" customHeight="1" spans="2:37">
      <c r="B186" s="7"/>
      <c r="C186" s="1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5"/>
    </row>
    <row r="187" customHeight="1" spans="2:37">
      <c r="B187" s="7"/>
      <c r="C187" s="1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5"/>
    </row>
    <row r="188" customHeight="1" spans="2:37">
      <c r="B188" s="7"/>
      <c r="C188" s="1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5"/>
    </row>
    <row r="189" customHeight="1" spans="2:37">
      <c r="B189" s="7"/>
      <c r="C189" s="1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5"/>
    </row>
    <row r="190" customHeight="1" spans="2:37">
      <c r="B190" s="7"/>
      <c r="C190" s="1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5"/>
    </row>
    <row r="191" customHeight="1" spans="2:37">
      <c r="B191" s="7"/>
      <c r="C191" s="1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5"/>
    </row>
    <row r="192" customHeight="1" spans="2:37">
      <c r="B192" s="7"/>
      <c r="C192" s="1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5"/>
    </row>
    <row r="193" customHeight="1" spans="2:37">
      <c r="B193" s="7"/>
      <c r="C193" s="1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5"/>
    </row>
    <row r="194" customHeight="1" spans="2:37">
      <c r="B194" s="7"/>
      <c r="C194" s="1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5"/>
    </row>
    <row r="195" customHeight="1" spans="2:37">
      <c r="B195" s="7"/>
      <c r="C195" s="1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5"/>
    </row>
    <row r="196" customHeight="1" spans="2:37">
      <c r="B196" s="7"/>
      <c r="C196" s="1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5"/>
    </row>
    <row r="197" customHeight="1" spans="2:37">
      <c r="B197" s="7"/>
      <c r="C197" s="1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5"/>
    </row>
    <row r="198" customHeight="1" spans="2:37">
      <c r="B198" s="7"/>
      <c r="C198" s="1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5"/>
    </row>
    <row r="199" customHeight="1" spans="2:37">
      <c r="B199" s="7"/>
      <c r="C199" s="1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5"/>
    </row>
    <row r="200" customHeight="1" spans="2:37">
      <c r="B200" s="7"/>
      <c r="C200" s="1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5"/>
    </row>
    <row r="201" customHeight="1" spans="2:37">
      <c r="B201" s="7"/>
      <c r="C201" s="1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5"/>
    </row>
    <row r="202" customHeight="1" spans="2:37">
      <c r="B202" s="7"/>
      <c r="C202" s="1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5"/>
    </row>
    <row r="203" customHeight="1" spans="2:37">
      <c r="B203" s="7"/>
      <c r="C203" s="1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5"/>
    </row>
    <row r="204" customHeight="1" spans="2:37">
      <c r="B204" s="7"/>
      <c r="C204" s="1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5"/>
    </row>
    <row r="205" customHeight="1" spans="2:37">
      <c r="B205" s="7"/>
      <c r="C205" s="1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5"/>
    </row>
    <row r="206" customHeight="1" spans="2:37">
      <c r="B206" s="7"/>
      <c r="C206" s="1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5"/>
    </row>
    <row r="207" customHeight="1" spans="2:37">
      <c r="B207" s="7"/>
      <c r="C207" s="1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5"/>
    </row>
    <row r="208" customHeight="1" spans="2:37">
      <c r="B208" s="7"/>
      <c r="C208" s="1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5"/>
    </row>
    <row r="209" customHeight="1" spans="2:37">
      <c r="B209" s="7"/>
      <c r="C209" s="1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5"/>
    </row>
    <row r="210" customHeight="1" spans="2:37">
      <c r="B210" s="7"/>
      <c r="C210" s="1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5"/>
    </row>
    <row r="211" customHeight="1" spans="2:37">
      <c r="B211" s="7"/>
      <c r="C211" s="1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5"/>
    </row>
    <row r="212" customHeight="1" spans="2:37">
      <c r="B212" s="7"/>
      <c r="C212" s="1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5"/>
    </row>
    <row r="213" customHeight="1" spans="2:37">
      <c r="B213" s="7"/>
      <c r="C213" s="1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5"/>
    </row>
    <row r="214" customHeight="1" spans="2:37">
      <c r="B214" s="7"/>
      <c r="C214" s="1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5"/>
    </row>
    <row r="215" customHeight="1" spans="2:37">
      <c r="B215" s="7"/>
      <c r="C215" s="1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5"/>
    </row>
    <row r="216" customHeight="1" spans="2:37">
      <c r="B216" s="7"/>
      <c r="C216" s="1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5"/>
    </row>
    <row r="217" customHeight="1" spans="2:37">
      <c r="B217" s="7"/>
      <c r="C217" s="1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5"/>
    </row>
    <row r="218" customHeight="1" spans="2:37">
      <c r="B218" s="7"/>
      <c r="C218" s="1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5"/>
    </row>
    <row r="219" customHeight="1" spans="2:37">
      <c r="B219" s="7"/>
      <c r="C219" s="1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5"/>
    </row>
    <row r="220" customHeight="1" spans="2:37">
      <c r="B220" s="7"/>
      <c r="C220" s="1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5"/>
    </row>
    <row r="221" customHeight="1" spans="2:37">
      <c r="B221" s="7"/>
      <c r="C221" s="1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5"/>
    </row>
    <row r="222" customHeight="1" spans="2:37">
      <c r="B222" s="7"/>
      <c r="C222" s="1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5"/>
    </row>
    <row r="223" customHeight="1" spans="2:37">
      <c r="B223" s="7"/>
      <c r="C223" s="1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5"/>
    </row>
    <row r="224" customHeight="1" spans="2:37">
      <c r="B224" s="7"/>
      <c r="C224" s="1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5"/>
    </row>
    <row r="225" customHeight="1" spans="2:37">
      <c r="B225" s="7"/>
      <c r="C225" s="1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5"/>
    </row>
    <row r="226" customHeight="1" spans="2:37">
      <c r="B226" s="7"/>
      <c r="C226" s="1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5"/>
    </row>
    <row r="227" customHeight="1" spans="2:37">
      <c r="B227" s="7"/>
      <c r="C227" s="1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5"/>
    </row>
    <row r="228" customHeight="1" spans="2:37">
      <c r="B228" s="7"/>
      <c r="C228" s="1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5"/>
    </row>
    <row r="229" customHeight="1" spans="2:37">
      <c r="B229" s="7"/>
      <c r="C229" s="1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5"/>
    </row>
    <row r="230" customHeight="1" spans="2:37">
      <c r="B230" s="7"/>
      <c r="C230" s="1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5"/>
    </row>
    <row r="231" customHeight="1" spans="2:37">
      <c r="B231" s="7"/>
      <c r="C231" s="1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5"/>
    </row>
    <row r="232" customHeight="1" spans="2:37">
      <c r="B232" s="7"/>
      <c r="C232" s="1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5"/>
    </row>
    <row r="233" customHeight="1" spans="2:37">
      <c r="B233" s="7"/>
      <c r="C233" s="1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5"/>
    </row>
    <row r="234" customHeight="1" spans="2:37">
      <c r="B234" s="7"/>
      <c r="C234" s="1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5"/>
    </row>
    <row r="235" customHeight="1" spans="2:37">
      <c r="B235" s="7"/>
      <c r="C235" s="1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5"/>
    </row>
    <row r="236" customHeight="1" spans="2:37">
      <c r="B236" s="7"/>
      <c r="C236" s="1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5"/>
    </row>
    <row r="237" customHeight="1" spans="2:37">
      <c r="B237" s="7"/>
      <c r="C237" s="1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5"/>
    </row>
    <row r="238" customHeight="1" spans="2:37">
      <c r="B238" s="7"/>
      <c r="C238" s="1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5"/>
    </row>
    <row r="239" customHeight="1" spans="2:37">
      <c r="B239" s="7"/>
      <c r="C239" s="1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5"/>
    </row>
    <row r="240" customHeight="1" spans="2:37">
      <c r="B240" s="7"/>
      <c r="C240" s="1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5"/>
    </row>
    <row r="241" customHeight="1" spans="2:37">
      <c r="B241" s="7"/>
      <c r="C241" s="1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5"/>
    </row>
    <row r="242" customHeight="1" spans="2:37">
      <c r="B242" s="7"/>
      <c r="C242" s="1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5"/>
    </row>
    <row r="243" customHeight="1" spans="2:37">
      <c r="B243" s="7"/>
      <c r="C243" s="1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5"/>
    </row>
    <row r="244" customHeight="1" spans="2:37">
      <c r="B244" s="7"/>
      <c r="C244" s="1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5"/>
    </row>
    <row r="245" customHeight="1" spans="2:37">
      <c r="B245" s="7"/>
      <c r="C245" s="1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5"/>
    </row>
    <row r="246" customHeight="1" spans="2:37">
      <c r="B246" s="7"/>
      <c r="C246" s="1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5"/>
    </row>
    <row r="247" customHeight="1" spans="2:37">
      <c r="B247" s="7"/>
      <c r="C247" s="1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5"/>
    </row>
    <row r="248" customHeight="1" spans="2:37">
      <c r="B248" s="7"/>
      <c r="C248" s="1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5"/>
    </row>
    <row r="249" customHeight="1" spans="2:37">
      <c r="B249" s="7"/>
      <c r="C249" s="1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5"/>
    </row>
    <row r="250" customHeight="1" spans="2:37">
      <c r="B250" s="7"/>
      <c r="C250" s="1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5"/>
    </row>
    <row r="251" customHeight="1" spans="2:37">
      <c r="B251" s="7"/>
      <c r="C251" s="1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5"/>
    </row>
    <row r="252" customHeight="1" spans="2:37">
      <c r="B252" s="7"/>
      <c r="C252" s="1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5"/>
    </row>
    <row r="253" customHeight="1" spans="2:37">
      <c r="B253" s="7"/>
      <c r="C253" s="1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5"/>
    </row>
    <row r="254" customHeight="1" spans="2:37">
      <c r="B254" s="7"/>
      <c r="C254" s="1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5"/>
    </row>
    <row r="255" customHeight="1" spans="2:37">
      <c r="B255" s="7"/>
      <c r="C255" s="1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5"/>
    </row>
    <row r="256" customHeight="1" spans="2:37">
      <c r="B256" s="7"/>
      <c r="C256" s="1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5"/>
    </row>
    <row r="257" customHeight="1" spans="2:37">
      <c r="B257" s="7"/>
      <c r="C257" s="1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5"/>
    </row>
    <row r="258" customHeight="1" spans="2:37">
      <c r="B258" s="7"/>
      <c r="C258" s="1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5"/>
    </row>
    <row r="259" customHeight="1" spans="2:37">
      <c r="B259" s="7"/>
      <c r="C259" s="1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5"/>
    </row>
    <row r="260" customHeight="1" spans="2:37">
      <c r="B260" s="7"/>
      <c r="C260" s="1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5"/>
    </row>
    <row r="261" customHeight="1" spans="2:37">
      <c r="B261" s="7"/>
      <c r="C261" s="1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5"/>
    </row>
    <row r="262" customHeight="1" spans="2:37">
      <c r="B262" s="7"/>
      <c r="C262" s="1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5"/>
    </row>
    <row r="263" customHeight="1" spans="2:37">
      <c r="B263" s="7"/>
      <c r="C263" s="1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5"/>
    </row>
    <row r="264" customHeight="1" spans="2:37">
      <c r="B264" s="7"/>
      <c r="C264" s="1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5"/>
    </row>
    <row r="265" customHeight="1" spans="2:37">
      <c r="B265" s="7"/>
      <c r="C265" s="1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5"/>
    </row>
    <row r="266" customHeight="1" spans="2:37">
      <c r="B266" s="7"/>
      <c r="C266" s="1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5"/>
    </row>
    <row r="267" customHeight="1" spans="2:37">
      <c r="B267" s="7"/>
      <c r="C267" s="1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5"/>
    </row>
    <row r="268" customHeight="1" spans="2:37">
      <c r="B268" s="7"/>
      <c r="C268" s="1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5"/>
    </row>
    <row r="269" customHeight="1" spans="2:37">
      <c r="B269" s="7"/>
      <c r="C269" s="1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5"/>
    </row>
    <row r="270" customHeight="1" spans="2:37">
      <c r="B270" s="7"/>
      <c r="C270" s="1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5"/>
    </row>
    <row r="271" customHeight="1" spans="2:37">
      <c r="B271" s="7"/>
      <c r="C271" s="1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5"/>
    </row>
    <row r="272" customHeight="1" spans="2:37">
      <c r="B272" s="7"/>
      <c r="C272" s="1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5"/>
    </row>
    <row r="273" customHeight="1" spans="2:37">
      <c r="B273" s="7"/>
      <c r="C273" s="1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5"/>
    </row>
    <row r="274" customHeight="1" spans="2:37">
      <c r="B274" s="7"/>
      <c r="C274" s="1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5"/>
    </row>
    <row r="275" customHeight="1" spans="2:37">
      <c r="B275" s="7"/>
      <c r="C275" s="1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5"/>
    </row>
    <row r="276" customHeight="1" spans="2:37">
      <c r="B276" s="7"/>
      <c r="C276" s="1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5"/>
    </row>
    <row r="277" customHeight="1" spans="2:37">
      <c r="B277" s="7"/>
      <c r="C277" s="1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5"/>
    </row>
    <row r="278" customHeight="1" spans="2:37">
      <c r="B278" s="7"/>
      <c r="C278" s="1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5"/>
    </row>
    <row r="279" customHeight="1" spans="2:37">
      <c r="B279" s="7"/>
      <c r="C279" s="1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5"/>
    </row>
    <row r="280" customHeight="1" spans="2:37">
      <c r="B280" s="7"/>
      <c r="C280" s="1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5"/>
    </row>
    <row r="281" customHeight="1" spans="2:37">
      <c r="B281" s="7"/>
      <c r="C281" s="1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5"/>
    </row>
    <row r="282" customHeight="1" spans="2:37">
      <c r="B282" s="7"/>
      <c r="C282" s="1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5"/>
    </row>
    <row r="283" customHeight="1" spans="2:37">
      <c r="B283" s="7"/>
      <c r="C283" s="1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5"/>
    </row>
    <row r="284" customHeight="1" spans="2:37">
      <c r="B284" s="7"/>
      <c r="C284" s="1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5"/>
    </row>
    <row r="285" customHeight="1" spans="2:37">
      <c r="B285" s="7"/>
      <c r="C285" s="1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5"/>
    </row>
    <row r="286" customHeight="1" spans="2:37">
      <c r="B286" s="7"/>
      <c r="C286" s="1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5"/>
    </row>
    <row r="287" customHeight="1" spans="2:37">
      <c r="B287" s="7"/>
      <c r="C287" s="1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5"/>
    </row>
    <row r="288" customHeight="1" spans="2:37">
      <c r="B288" s="7"/>
      <c r="C288" s="1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5"/>
    </row>
    <row r="289" customHeight="1" spans="2:37">
      <c r="B289" s="7"/>
      <c r="C289" s="1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5"/>
    </row>
    <row r="290" customHeight="1" spans="2:37">
      <c r="B290" s="7"/>
      <c r="C290" s="1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5"/>
    </row>
    <row r="291" customHeight="1" spans="2:37">
      <c r="B291" s="7"/>
      <c r="C291" s="1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5"/>
    </row>
    <row r="292" customHeight="1" spans="2:37">
      <c r="B292" s="7"/>
      <c r="C292" s="1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5"/>
    </row>
    <row r="293" customHeight="1" spans="2:37">
      <c r="B293" s="7"/>
      <c r="C293" s="1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5"/>
    </row>
    <row r="294" customHeight="1" spans="2:37">
      <c r="B294" s="7"/>
      <c r="C294" s="1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5"/>
    </row>
    <row r="295" customHeight="1" spans="2:37">
      <c r="B295" s="7"/>
      <c r="C295" s="1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5"/>
    </row>
    <row r="296" customHeight="1" spans="2:37">
      <c r="B296" s="7"/>
      <c r="C296" s="1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5"/>
    </row>
    <row r="297" customHeight="1" spans="2:37">
      <c r="B297" s="7"/>
      <c r="C297" s="1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5"/>
    </row>
    <row r="298" customHeight="1" spans="2:37">
      <c r="B298" s="7"/>
      <c r="C298" s="1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5"/>
    </row>
    <row r="299" customHeight="1" spans="2:37">
      <c r="B299" s="7"/>
      <c r="C299" s="1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5"/>
    </row>
    <row r="300" customHeight="1" spans="2:37">
      <c r="B300" s="7"/>
      <c r="C300" s="1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5"/>
    </row>
    <row r="301" customHeight="1" spans="2:37">
      <c r="B301" s="7"/>
      <c r="C301" s="1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5"/>
    </row>
    <row r="302" customHeight="1" spans="2:37">
      <c r="B302" s="7"/>
      <c r="C302" s="1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5"/>
    </row>
    <row r="303" customHeight="1" spans="2:37">
      <c r="B303" s="7"/>
      <c r="C303" s="1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52"/>
      <c r="AK303" s="55"/>
    </row>
    <row r="304" customHeight="1" spans="2:37">
      <c r="B304" s="7"/>
      <c r="C304" s="1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5"/>
    </row>
    <row r="305" customHeight="1" spans="2:37">
      <c r="B305" s="7"/>
      <c r="C305" s="1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52"/>
      <c r="AK305" s="55"/>
    </row>
    <row r="306" customHeight="1" spans="2:37">
      <c r="B306" s="7"/>
      <c r="C306" s="1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52"/>
      <c r="AK306" s="55"/>
    </row>
    <row r="307" customHeight="1" spans="2:37">
      <c r="B307" s="7"/>
      <c r="C307" s="1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52"/>
      <c r="AK307" s="55"/>
    </row>
    <row r="308" customHeight="1" spans="2:37">
      <c r="B308" s="7"/>
      <c r="C308" s="1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52"/>
      <c r="AK308" s="55"/>
    </row>
    <row r="309" customHeight="1" spans="2:37">
      <c r="B309" s="7"/>
      <c r="C309" s="1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52"/>
      <c r="AK309" s="55"/>
    </row>
    <row r="310" customHeight="1" spans="2:37">
      <c r="B310" s="7"/>
      <c r="C310" s="1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52"/>
      <c r="AK310" s="55"/>
    </row>
    <row r="311" customHeight="1" spans="2:37">
      <c r="B311" s="7"/>
      <c r="C311" s="1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52"/>
      <c r="AK311" s="55"/>
    </row>
    <row r="312" customHeight="1" spans="2:37">
      <c r="B312" s="7"/>
      <c r="C312" s="1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52"/>
      <c r="AK312" s="55"/>
    </row>
    <row r="313" customHeight="1" spans="2:37">
      <c r="B313" s="7"/>
      <c r="C313" s="1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52"/>
      <c r="AK313" s="55"/>
    </row>
    <row r="314" customHeight="1" spans="2:37">
      <c r="B314" s="7"/>
      <c r="C314" s="1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52"/>
      <c r="AK314" s="55"/>
    </row>
    <row r="315" customHeight="1" spans="2:37">
      <c r="B315" s="7"/>
      <c r="C315" s="1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52"/>
      <c r="AK315" s="55"/>
    </row>
    <row r="316" customHeight="1" spans="2:37">
      <c r="B316" s="7"/>
      <c r="C316" s="1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5"/>
    </row>
    <row r="317" customHeight="1" spans="2:37">
      <c r="B317" s="7"/>
      <c r="C317" s="1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5"/>
    </row>
    <row r="318" customHeight="1" spans="2:37">
      <c r="B318" s="7"/>
      <c r="C318" s="1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5"/>
    </row>
    <row r="319" customHeight="1" spans="2:37">
      <c r="B319" s="7"/>
      <c r="C319" s="1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52"/>
      <c r="AK319" s="55"/>
    </row>
    <row r="320" customHeight="1" spans="2:37">
      <c r="B320" s="7"/>
      <c r="C320" s="1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52"/>
      <c r="AK320" s="55"/>
    </row>
    <row r="321" customHeight="1" spans="2:37">
      <c r="B321" s="7"/>
      <c r="C321" s="1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52"/>
      <c r="AK321" s="55"/>
    </row>
    <row r="322" customHeight="1" spans="2:37">
      <c r="B322" s="7"/>
      <c r="C322" s="1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52"/>
      <c r="AK322" s="55"/>
    </row>
    <row r="323" customHeight="1" spans="2:37">
      <c r="B323" s="7"/>
      <c r="C323" s="1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52"/>
      <c r="AK323" s="55"/>
    </row>
    <row r="324" customHeight="1" spans="2:37">
      <c r="B324" s="7"/>
      <c r="C324" s="1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5"/>
    </row>
    <row r="325" customHeight="1" spans="2:37">
      <c r="B325" s="7"/>
      <c r="C325" s="1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  <c r="AH325" s="52"/>
      <c r="AI325" s="52"/>
      <c r="AJ325" s="52"/>
      <c r="AK325" s="55"/>
    </row>
    <row r="326" customHeight="1" spans="2:37">
      <c r="B326" s="7"/>
      <c r="C326" s="1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5"/>
    </row>
    <row r="327" customHeight="1" spans="2:37">
      <c r="B327" s="7"/>
      <c r="C327" s="1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  <c r="AH327" s="52"/>
      <c r="AI327" s="52"/>
      <c r="AJ327" s="52"/>
      <c r="AK327" s="55"/>
    </row>
    <row r="328" customHeight="1" spans="2:37">
      <c r="B328" s="7"/>
      <c r="C328" s="1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5"/>
    </row>
    <row r="329" customHeight="1" spans="2:37">
      <c r="B329" s="7"/>
      <c r="C329" s="1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  <c r="AH329" s="52"/>
      <c r="AI329" s="52"/>
      <c r="AJ329" s="52"/>
      <c r="AK329" s="55"/>
    </row>
    <row r="330" customHeight="1" spans="2:37">
      <c r="B330" s="7"/>
      <c r="C330" s="1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  <c r="AH330" s="52"/>
      <c r="AI330" s="52"/>
      <c r="AJ330" s="52"/>
      <c r="AK330" s="55"/>
    </row>
    <row r="331" customHeight="1" spans="2:37">
      <c r="B331" s="7"/>
      <c r="C331" s="1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  <c r="AH331" s="52"/>
      <c r="AI331" s="52"/>
      <c r="AJ331" s="52"/>
      <c r="AK331" s="55"/>
    </row>
    <row r="332" customHeight="1" spans="2:37">
      <c r="B332" s="7"/>
      <c r="C332" s="1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  <c r="AH332" s="52"/>
      <c r="AI332" s="52"/>
      <c r="AJ332" s="52"/>
      <c r="AK332" s="55"/>
    </row>
    <row r="333" customHeight="1" spans="2:37">
      <c r="B333" s="7"/>
      <c r="C333" s="1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  <c r="AH333" s="52"/>
      <c r="AI333" s="52"/>
      <c r="AJ333" s="52"/>
      <c r="AK333" s="55"/>
    </row>
    <row r="334" customHeight="1" spans="2:37">
      <c r="B334" s="7"/>
      <c r="C334" s="1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5"/>
    </row>
    <row r="335" customHeight="1" spans="2:37">
      <c r="B335" s="7"/>
      <c r="C335" s="1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5"/>
    </row>
    <row r="336" customHeight="1" spans="2:37">
      <c r="B336" s="7"/>
      <c r="C336" s="1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5"/>
    </row>
    <row r="337" customHeight="1" spans="2:37">
      <c r="B337" s="7"/>
      <c r="C337" s="1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  <c r="AH337" s="52"/>
      <c r="AI337" s="52"/>
      <c r="AJ337" s="52"/>
      <c r="AK337" s="55"/>
    </row>
    <row r="338" customHeight="1" spans="2:37">
      <c r="B338" s="7"/>
      <c r="C338" s="1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  <c r="AH338" s="52"/>
      <c r="AI338" s="52"/>
      <c r="AJ338" s="52"/>
      <c r="AK338" s="55"/>
    </row>
    <row r="339" customHeight="1" spans="2:37">
      <c r="B339" s="7"/>
      <c r="C339" s="1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  <c r="AH339" s="52"/>
      <c r="AI339" s="52"/>
      <c r="AJ339" s="52"/>
      <c r="AK339" s="55"/>
    </row>
    <row r="340" customHeight="1" spans="2:37">
      <c r="B340" s="7"/>
      <c r="C340" s="1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  <c r="AH340" s="52"/>
      <c r="AI340" s="52"/>
      <c r="AJ340" s="52"/>
      <c r="AK340" s="55"/>
    </row>
    <row r="341" customHeight="1" spans="2:37">
      <c r="B341" s="7"/>
      <c r="C341" s="1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  <c r="AH341" s="52"/>
      <c r="AI341" s="52"/>
      <c r="AJ341" s="52"/>
      <c r="AK341" s="55"/>
    </row>
    <row r="342" customHeight="1" spans="2:37">
      <c r="B342" s="7"/>
      <c r="C342" s="1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  <c r="AH342" s="52"/>
      <c r="AI342" s="52"/>
      <c r="AJ342" s="52"/>
      <c r="AK342" s="55"/>
    </row>
    <row r="343" customHeight="1" spans="2:37">
      <c r="B343" s="7"/>
      <c r="C343" s="1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  <c r="AH343" s="52"/>
      <c r="AI343" s="52"/>
      <c r="AJ343" s="52"/>
      <c r="AK343" s="55"/>
    </row>
    <row r="344" customHeight="1" spans="2:37">
      <c r="B344" s="7"/>
      <c r="C344" s="1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  <c r="AH344" s="52"/>
      <c r="AI344" s="52"/>
      <c r="AJ344" s="52"/>
      <c r="AK344" s="55"/>
    </row>
    <row r="345" customHeight="1" spans="2:37">
      <c r="B345" s="7"/>
      <c r="C345" s="1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  <c r="AH345" s="52"/>
      <c r="AI345" s="52"/>
      <c r="AJ345" s="52"/>
      <c r="AK345" s="55"/>
    </row>
    <row r="346" customHeight="1" spans="2:37">
      <c r="B346" s="7"/>
      <c r="C346" s="1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52"/>
      <c r="AK346" s="55"/>
    </row>
    <row r="347" customHeight="1" spans="2:37">
      <c r="B347" s="7"/>
      <c r="C347" s="1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52"/>
      <c r="AK347" s="55"/>
    </row>
    <row r="348" customHeight="1" spans="2:37">
      <c r="B348" s="7"/>
      <c r="C348" s="1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52"/>
      <c r="AK348" s="55"/>
    </row>
    <row r="349" customHeight="1" spans="2:37">
      <c r="B349" s="7"/>
      <c r="C349" s="1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52"/>
      <c r="AK349" s="55"/>
    </row>
    <row r="350" customHeight="1" spans="2:37">
      <c r="B350" s="7"/>
      <c r="C350" s="1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52"/>
      <c r="AK350" s="55"/>
    </row>
    <row r="351" customHeight="1" spans="2:37">
      <c r="B351" s="7"/>
      <c r="C351" s="1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52"/>
      <c r="AK351" s="55"/>
    </row>
    <row r="352" customHeight="1" spans="2:37">
      <c r="B352" s="7"/>
      <c r="C352" s="1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5"/>
    </row>
    <row r="353" customHeight="1" spans="2:37">
      <c r="B353" s="7"/>
      <c r="C353" s="1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5"/>
    </row>
    <row r="354" customHeight="1" spans="2:37">
      <c r="B354" s="7"/>
      <c r="C354" s="1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5"/>
    </row>
    <row r="355" customHeight="1" spans="2:37">
      <c r="B355" s="7"/>
      <c r="C355" s="1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52"/>
      <c r="AK355" s="55"/>
    </row>
    <row r="356" customHeight="1" spans="2:37">
      <c r="B356" s="7"/>
      <c r="C356" s="1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52"/>
      <c r="AK356" s="55"/>
    </row>
    <row r="357" customHeight="1" spans="2:37">
      <c r="B357" s="7"/>
      <c r="C357" s="1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52"/>
      <c r="AK357" s="55"/>
    </row>
    <row r="358" customHeight="1" spans="2:37">
      <c r="B358" s="7"/>
      <c r="C358" s="1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52"/>
      <c r="AK358" s="55"/>
    </row>
    <row r="359" customHeight="1" spans="2:37">
      <c r="B359" s="7"/>
      <c r="C359" s="1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5"/>
    </row>
    <row r="360" customHeight="1" spans="2:37">
      <c r="B360" s="7"/>
      <c r="C360" s="1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52"/>
      <c r="AK360" s="55"/>
    </row>
    <row r="361" customHeight="1" spans="2:37">
      <c r="B361" s="7"/>
      <c r="C361" s="1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5"/>
    </row>
    <row r="362" customHeight="1" spans="2:37">
      <c r="B362" s="7"/>
      <c r="C362" s="1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52"/>
      <c r="AK362" s="55"/>
    </row>
    <row r="363" customHeight="1" spans="2:37">
      <c r="B363" s="7"/>
      <c r="C363" s="1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52"/>
      <c r="AK363" s="55"/>
    </row>
    <row r="364" customHeight="1" spans="2:37">
      <c r="B364" s="7"/>
      <c r="C364" s="1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52"/>
      <c r="AK364" s="55"/>
    </row>
    <row r="365" customHeight="1" spans="2:37">
      <c r="B365" s="7"/>
      <c r="C365" s="1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52"/>
      <c r="AK365" s="55"/>
    </row>
    <row r="366" customHeight="1" spans="2:37">
      <c r="B366" s="7"/>
      <c r="C366" s="1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52"/>
      <c r="AK366" s="55"/>
    </row>
    <row r="367" customHeight="1" spans="2:37">
      <c r="B367" s="7"/>
      <c r="C367" s="1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52"/>
      <c r="AK367" s="55"/>
    </row>
    <row r="368" customHeight="1" spans="2:37">
      <c r="B368" s="7"/>
      <c r="C368" s="1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52"/>
      <c r="AK368" s="55"/>
    </row>
    <row r="369" customHeight="1" spans="2:37">
      <c r="B369" s="7"/>
      <c r="C369" s="1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52"/>
      <c r="AK369" s="55"/>
    </row>
    <row r="370" customHeight="1" spans="2:37">
      <c r="B370" s="7"/>
      <c r="C370" s="1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5"/>
    </row>
    <row r="371" customHeight="1" spans="2:37">
      <c r="B371" s="7"/>
      <c r="C371" s="1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5"/>
    </row>
    <row r="372" customHeight="1" spans="2:37">
      <c r="B372" s="7"/>
      <c r="C372" s="1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5"/>
    </row>
    <row r="373" customHeight="1" spans="2:37">
      <c r="B373" s="7"/>
      <c r="C373" s="1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52"/>
      <c r="AK373" s="55"/>
    </row>
    <row r="374" customHeight="1" spans="2:37">
      <c r="B374" s="7"/>
      <c r="C374" s="1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5"/>
    </row>
    <row r="375" customHeight="1" spans="2:37">
      <c r="B375" s="7"/>
      <c r="C375" s="1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52"/>
      <c r="AK375" s="55"/>
    </row>
    <row r="376" customHeight="1" spans="2:37">
      <c r="B376" s="7"/>
      <c r="C376" s="1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52"/>
      <c r="AK376" s="55"/>
    </row>
    <row r="377" customHeight="1" spans="2:37">
      <c r="B377" s="7"/>
      <c r="C377" s="1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52"/>
      <c r="AK377" s="55"/>
    </row>
    <row r="378" customHeight="1" spans="2:37">
      <c r="B378" s="7"/>
      <c r="C378" s="1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52"/>
      <c r="AK378" s="55"/>
    </row>
    <row r="379" customHeight="1" spans="2:37">
      <c r="B379" s="7"/>
      <c r="C379" s="1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5"/>
    </row>
    <row r="380" customHeight="1" spans="2:37">
      <c r="B380" s="7"/>
      <c r="C380" s="1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  <c r="AH380" s="52"/>
      <c r="AI380" s="52"/>
      <c r="AJ380" s="52"/>
      <c r="AK380" s="55"/>
    </row>
    <row r="381" customHeight="1" spans="2:37">
      <c r="B381" s="7"/>
      <c r="C381" s="1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  <c r="AH381" s="52"/>
      <c r="AI381" s="52"/>
      <c r="AJ381" s="52"/>
      <c r="AK381" s="55"/>
    </row>
    <row r="382" customHeight="1" spans="2:37">
      <c r="B382" s="7"/>
      <c r="C382" s="1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  <c r="AH382" s="52"/>
      <c r="AI382" s="52"/>
      <c r="AJ382" s="52"/>
      <c r="AK382" s="55"/>
    </row>
    <row r="383" customHeight="1" spans="2:37">
      <c r="B383" s="7"/>
      <c r="C383" s="1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  <c r="AH383" s="52"/>
      <c r="AI383" s="52"/>
      <c r="AJ383" s="52"/>
      <c r="AK383" s="55"/>
    </row>
    <row r="384" customHeight="1" spans="2:37">
      <c r="B384" s="7"/>
      <c r="C384" s="1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5"/>
    </row>
    <row r="385" customHeight="1" spans="2:37">
      <c r="B385" s="7"/>
      <c r="C385" s="1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  <c r="AH385" s="52"/>
      <c r="AI385" s="52"/>
      <c r="AJ385" s="52"/>
      <c r="AK385" s="55"/>
    </row>
    <row r="386" customHeight="1" spans="2:37">
      <c r="B386" s="7"/>
      <c r="C386" s="1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5"/>
    </row>
    <row r="387" customHeight="1" spans="2:37">
      <c r="B387" s="7"/>
      <c r="C387" s="1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  <c r="AH387" s="52"/>
      <c r="AI387" s="52"/>
      <c r="AJ387" s="52"/>
      <c r="AK387" s="55"/>
    </row>
    <row r="388" customHeight="1" spans="2:37">
      <c r="B388" s="7"/>
      <c r="C388" s="1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5"/>
    </row>
    <row r="389" customHeight="1" spans="2:37">
      <c r="B389" s="7"/>
      <c r="C389" s="1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5"/>
    </row>
    <row r="390" customHeight="1" spans="2:37">
      <c r="B390" s="7"/>
      <c r="C390" s="1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5"/>
    </row>
    <row r="391" customHeight="1" spans="2:37">
      <c r="B391" s="7"/>
      <c r="C391" s="1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  <c r="AH391" s="52"/>
      <c r="AI391" s="52"/>
      <c r="AJ391" s="52"/>
      <c r="AK391" s="55"/>
    </row>
    <row r="392" customHeight="1" spans="2:37">
      <c r="B392" s="7"/>
      <c r="C392" s="1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  <c r="AH392" s="52"/>
      <c r="AI392" s="52"/>
      <c r="AJ392" s="52"/>
      <c r="AK392" s="55"/>
    </row>
    <row r="393" customHeight="1" spans="2:37">
      <c r="B393" s="7"/>
      <c r="C393" s="1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  <c r="AH393" s="52"/>
      <c r="AI393" s="52"/>
      <c r="AJ393" s="52"/>
      <c r="AK393" s="55"/>
    </row>
    <row r="394" customHeight="1" spans="2:37">
      <c r="B394" s="7"/>
      <c r="C394" s="1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  <c r="AH394" s="52"/>
      <c r="AI394" s="52"/>
      <c r="AJ394" s="52"/>
      <c r="AK394" s="55"/>
    </row>
    <row r="395" customHeight="1" spans="2:37">
      <c r="B395" s="7"/>
      <c r="C395" s="1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  <c r="AH395" s="52"/>
      <c r="AI395" s="52"/>
      <c r="AJ395" s="52"/>
      <c r="AK395" s="55"/>
    </row>
    <row r="396" customHeight="1" spans="2:37">
      <c r="B396" s="7"/>
      <c r="C396" s="1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  <c r="AH396" s="52"/>
      <c r="AI396" s="52"/>
      <c r="AJ396" s="52"/>
      <c r="AK396" s="55"/>
    </row>
    <row r="397" customHeight="1" spans="2:37">
      <c r="B397" s="7"/>
      <c r="C397" s="1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  <c r="AH397" s="52"/>
      <c r="AI397" s="52"/>
      <c r="AJ397" s="52"/>
      <c r="AK397" s="55"/>
    </row>
    <row r="398" customHeight="1" spans="2:37">
      <c r="B398" s="7"/>
      <c r="C398" s="1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  <c r="AJ398" s="52"/>
      <c r="AK398" s="55"/>
    </row>
    <row r="399" customHeight="1" spans="2:37">
      <c r="B399" s="7"/>
      <c r="C399" s="1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  <c r="AH399" s="52"/>
      <c r="AI399" s="52"/>
      <c r="AJ399" s="52"/>
      <c r="AK399" s="55"/>
    </row>
    <row r="400" customHeight="1" spans="2:37">
      <c r="B400" s="7"/>
      <c r="C400" s="1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  <c r="AH400" s="52"/>
      <c r="AI400" s="52"/>
      <c r="AJ400" s="52"/>
      <c r="AK400" s="55"/>
    </row>
    <row r="401" customHeight="1" spans="2:37">
      <c r="B401" s="7"/>
      <c r="C401" s="1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5"/>
    </row>
    <row r="402" customHeight="1" spans="2:37">
      <c r="B402" s="7"/>
      <c r="C402" s="1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  <c r="AH402" s="52"/>
      <c r="AI402" s="52"/>
      <c r="AJ402" s="52"/>
      <c r="AK402" s="55"/>
    </row>
    <row r="403" customHeight="1" spans="2:37">
      <c r="B403" s="7"/>
      <c r="C403" s="1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  <c r="AH403" s="52"/>
      <c r="AI403" s="52"/>
      <c r="AJ403" s="52"/>
      <c r="AK403" s="55"/>
    </row>
    <row r="404" customHeight="1" spans="2:37">
      <c r="B404" s="7"/>
      <c r="C404" s="1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52"/>
      <c r="AK404" s="55"/>
    </row>
    <row r="405" customHeight="1" spans="2:37">
      <c r="B405" s="7"/>
      <c r="C405" s="1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52"/>
      <c r="AK405" s="55"/>
    </row>
    <row r="406" customHeight="1" spans="2:37">
      <c r="B406" s="7"/>
      <c r="C406" s="1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5"/>
    </row>
    <row r="407" customHeight="1" spans="2:37">
      <c r="B407" s="7"/>
      <c r="C407" s="1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5"/>
    </row>
    <row r="408" customHeight="1" spans="2:37">
      <c r="B408" s="7"/>
      <c r="C408" s="1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5"/>
    </row>
    <row r="409" customHeight="1" spans="2:37">
      <c r="B409" s="7"/>
      <c r="C409" s="1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52"/>
      <c r="AK409" s="55"/>
    </row>
    <row r="410" customHeight="1" spans="2:37">
      <c r="B410" s="7"/>
      <c r="C410" s="1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52"/>
      <c r="AK410" s="55"/>
    </row>
    <row r="411" customHeight="1" spans="2:37">
      <c r="B411" s="7"/>
      <c r="C411" s="1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52"/>
      <c r="AK411" s="55"/>
    </row>
    <row r="412" customHeight="1" spans="2:37">
      <c r="B412" s="7"/>
      <c r="C412" s="1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5"/>
    </row>
    <row r="413" customHeight="1" spans="2:37">
      <c r="B413" s="7"/>
      <c r="C413" s="1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52"/>
      <c r="AK413" s="55"/>
    </row>
    <row r="414" customHeight="1" spans="2:37">
      <c r="B414" s="7"/>
      <c r="C414" s="1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5"/>
    </row>
    <row r="415" customHeight="1" spans="2:37">
      <c r="B415" s="7"/>
      <c r="C415" s="1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52"/>
      <c r="AK415" s="55"/>
    </row>
    <row r="416" customHeight="1" spans="2:37">
      <c r="B416" s="7"/>
      <c r="C416" s="1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5"/>
    </row>
    <row r="417" customHeight="1" spans="2:37">
      <c r="B417" s="7"/>
      <c r="C417" s="1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52"/>
      <c r="AK417" s="55"/>
    </row>
    <row r="418" customHeight="1" spans="2:37">
      <c r="B418" s="7"/>
      <c r="C418" s="1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5"/>
    </row>
    <row r="419" customHeight="1" spans="2:37">
      <c r="B419" s="7"/>
      <c r="C419" s="1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52"/>
      <c r="AK419" s="55"/>
    </row>
    <row r="420" customHeight="1" spans="2:37">
      <c r="B420" s="7"/>
      <c r="C420" s="1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5"/>
    </row>
    <row r="421" customHeight="1" spans="2:37">
      <c r="B421" s="7"/>
      <c r="C421" s="1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52"/>
      <c r="AK421" s="55"/>
    </row>
    <row r="422" customHeight="1" spans="2:37">
      <c r="B422" s="7"/>
      <c r="C422" s="1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52"/>
      <c r="AK422" s="55"/>
    </row>
    <row r="423" customHeight="1" spans="2:37">
      <c r="B423" s="7"/>
      <c r="C423" s="1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52"/>
      <c r="AK423" s="55"/>
    </row>
    <row r="424" customHeight="1" spans="2:37">
      <c r="B424" s="7"/>
      <c r="C424" s="1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5"/>
    </row>
    <row r="425" customHeight="1" spans="2:37">
      <c r="B425" s="7"/>
      <c r="C425" s="1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5"/>
    </row>
    <row r="426" customHeight="1" spans="2:37">
      <c r="B426" s="7"/>
      <c r="C426" s="1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5"/>
    </row>
    <row r="427" customHeight="1" spans="2:37">
      <c r="B427" s="7"/>
      <c r="C427" s="1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52"/>
      <c r="AK427" s="55"/>
    </row>
    <row r="428" customHeight="1" spans="2:37">
      <c r="B428" s="7"/>
      <c r="C428" s="1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52"/>
      <c r="AK428" s="55"/>
    </row>
    <row r="429" customHeight="1" spans="2:37">
      <c r="B429" s="7"/>
      <c r="C429" s="1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52"/>
      <c r="AK429" s="55"/>
    </row>
    <row r="430" customHeight="1" spans="2:37">
      <c r="B430" s="7"/>
      <c r="C430" s="1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52"/>
      <c r="AK430" s="55"/>
    </row>
    <row r="431" customHeight="1" spans="2:37">
      <c r="B431" s="7"/>
      <c r="C431" s="1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52"/>
      <c r="AK431" s="55"/>
    </row>
    <row r="432" customHeight="1" spans="2:37">
      <c r="B432" s="7"/>
      <c r="C432" s="1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52"/>
      <c r="AK432" s="55"/>
    </row>
    <row r="433" customHeight="1" spans="2:37">
      <c r="B433" s="7"/>
      <c r="C433" s="1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52"/>
      <c r="AK433" s="55"/>
    </row>
    <row r="434" customHeight="1" spans="2:37">
      <c r="B434" s="7"/>
      <c r="C434" s="1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52"/>
      <c r="AK434" s="55"/>
    </row>
    <row r="435" customHeight="1" spans="2:37">
      <c r="B435" s="7"/>
      <c r="C435" s="1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52"/>
      <c r="AK435" s="55"/>
    </row>
    <row r="436" customHeight="1" spans="2:37">
      <c r="B436" s="7"/>
      <c r="C436" s="1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52"/>
      <c r="AK436" s="55"/>
    </row>
    <row r="437" customHeight="1" spans="2:37">
      <c r="B437" s="7"/>
      <c r="C437" s="1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  <c r="AH437" s="52"/>
      <c r="AI437" s="52"/>
      <c r="AJ437" s="52"/>
      <c r="AK437" s="55"/>
    </row>
    <row r="438" customHeight="1" spans="2:37">
      <c r="B438" s="7"/>
      <c r="C438" s="1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  <c r="AH438" s="52"/>
      <c r="AI438" s="52"/>
      <c r="AJ438" s="52"/>
      <c r="AK438" s="55"/>
    </row>
    <row r="439" customHeight="1" spans="2:37">
      <c r="B439" s="7"/>
      <c r="C439" s="1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  <c r="AH439" s="52"/>
      <c r="AI439" s="52"/>
      <c r="AJ439" s="52"/>
      <c r="AK439" s="55"/>
    </row>
    <row r="440" customHeight="1" spans="2:37">
      <c r="B440" s="7"/>
      <c r="C440" s="1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  <c r="AH440" s="52"/>
      <c r="AI440" s="52"/>
      <c r="AJ440" s="52"/>
      <c r="AK440" s="55"/>
    </row>
    <row r="441" customHeight="1" spans="2:37">
      <c r="B441" s="7"/>
      <c r="C441" s="1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52"/>
      <c r="AK441" s="55"/>
    </row>
    <row r="442" customHeight="1" spans="2:37">
      <c r="B442" s="7"/>
      <c r="C442" s="1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5"/>
    </row>
    <row r="443" customHeight="1" spans="2:37">
      <c r="B443" s="7"/>
      <c r="C443" s="1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5"/>
    </row>
    <row r="444" customHeight="1" spans="2:37">
      <c r="B444" s="7"/>
      <c r="C444" s="1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5"/>
    </row>
    <row r="445" customHeight="1" spans="2:37">
      <c r="B445" s="7"/>
      <c r="C445" s="1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52"/>
      <c r="AK445" s="55"/>
    </row>
    <row r="446" customHeight="1" spans="2:37">
      <c r="B446" s="7"/>
      <c r="C446" s="1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52"/>
      <c r="AK446" s="55"/>
    </row>
    <row r="447" customHeight="1" spans="2:37">
      <c r="B447" s="7"/>
      <c r="C447" s="1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5"/>
    </row>
    <row r="448" customHeight="1" spans="2:37">
      <c r="B448" s="7"/>
      <c r="C448" s="1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55"/>
    </row>
    <row r="449" customHeight="1" spans="2:37">
      <c r="B449" s="7"/>
      <c r="C449" s="1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52"/>
      <c r="AK449" s="55"/>
    </row>
    <row r="450" customHeight="1" spans="2:37">
      <c r="B450" s="7"/>
      <c r="C450" s="1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52"/>
      <c r="AK450" s="55"/>
    </row>
    <row r="451" customHeight="1" spans="2:37">
      <c r="B451" s="7"/>
      <c r="C451" s="1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52"/>
      <c r="AK451" s="55"/>
    </row>
    <row r="452" customHeight="1" spans="2:37">
      <c r="B452" s="7"/>
      <c r="C452" s="1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5"/>
    </row>
    <row r="453" customHeight="1" spans="2:37">
      <c r="B453" s="7"/>
      <c r="C453" s="1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52"/>
      <c r="AK453" s="55"/>
    </row>
    <row r="454" customHeight="1" spans="2:37">
      <c r="B454" s="7"/>
      <c r="C454" s="1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52"/>
      <c r="AK454" s="55"/>
    </row>
    <row r="455" customHeight="1" spans="2:37">
      <c r="B455" s="7"/>
      <c r="C455" s="1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52"/>
      <c r="AK455" s="55"/>
    </row>
    <row r="456" customHeight="1" spans="2:37">
      <c r="B456" s="7"/>
      <c r="C456" s="1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52"/>
      <c r="AK456" s="55"/>
    </row>
    <row r="457" customHeight="1" spans="2:37">
      <c r="B457" s="7"/>
      <c r="C457" s="1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5"/>
    </row>
    <row r="458" customHeight="1" spans="2:37">
      <c r="B458" s="7"/>
      <c r="C458" s="1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52"/>
      <c r="AK458" s="55"/>
    </row>
    <row r="459" customHeight="1" spans="2:37">
      <c r="B459" s="7"/>
      <c r="C459" s="1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52"/>
      <c r="AK459" s="55"/>
    </row>
    <row r="460" customHeight="1" spans="2:37">
      <c r="B460" s="7"/>
      <c r="C460" s="1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5"/>
    </row>
    <row r="461" customHeight="1" spans="2:37">
      <c r="B461" s="7"/>
      <c r="C461" s="1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5"/>
    </row>
    <row r="462" customHeight="1" spans="2:37">
      <c r="B462" s="7"/>
      <c r="C462" s="1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5"/>
    </row>
    <row r="463" customHeight="1" spans="2:37">
      <c r="B463" s="7"/>
      <c r="C463" s="1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52"/>
      <c r="AK463" s="55"/>
    </row>
    <row r="464" customHeight="1" spans="2:37">
      <c r="B464" s="7"/>
      <c r="C464" s="1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52"/>
      <c r="AK464" s="55"/>
    </row>
    <row r="465" customHeight="1" spans="2:37">
      <c r="B465" s="7"/>
      <c r="C465" s="1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5"/>
    </row>
    <row r="466" customHeight="1" spans="2:37">
      <c r="B466" s="7"/>
      <c r="C466" s="1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52"/>
      <c r="AK466" s="55"/>
    </row>
    <row r="467" customHeight="1" spans="2:37">
      <c r="B467" s="7"/>
      <c r="C467" s="1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52"/>
      <c r="AK467" s="55"/>
    </row>
    <row r="468" customHeight="1" spans="2:37">
      <c r="B468" s="7"/>
      <c r="C468" s="1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52"/>
      <c r="AK468" s="55"/>
    </row>
    <row r="469" customHeight="1" spans="2:37">
      <c r="B469" s="7"/>
      <c r="C469" s="1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52"/>
      <c r="AK469" s="55"/>
    </row>
    <row r="470" customHeight="1" spans="2:37">
      <c r="B470" s="7"/>
      <c r="C470" s="1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5"/>
    </row>
    <row r="471" customHeight="1" spans="2:37">
      <c r="B471" s="7"/>
      <c r="C471" s="1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52"/>
      <c r="AK471" s="55"/>
    </row>
    <row r="472" customHeight="1" spans="2:37">
      <c r="B472" s="7"/>
      <c r="C472" s="1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5"/>
    </row>
    <row r="473" customHeight="1" spans="2:37">
      <c r="B473" s="7"/>
      <c r="C473" s="1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52"/>
      <c r="AK473" s="55"/>
    </row>
    <row r="474" customHeight="1" spans="2:37">
      <c r="B474" s="7"/>
      <c r="C474" s="1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52"/>
      <c r="AK474" s="55"/>
    </row>
    <row r="475" customHeight="1" spans="2:37">
      <c r="B475" s="7"/>
      <c r="C475" s="1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  <c r="AH475" s="52"/>
      <c r="AI475" s="52"/>
      <c r="AJ475" s="52"/>
      <c r="AK475" s="55"/>
    </row>
    <row r="476" customHeight="1" spans="2:37">
      <c r="B476" s="7"/>
      <c r="C476" s="1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  <c r="AH476" s="52"/>
      <c r="AI476" s="52"/>
      <c r="AJ476" s="52"/>
      <c r="AK476" s="55"/>
    </row>
    <row r="477" customHeight="1" spans="2:37">
      <c r="B477" s="7"/>
      <c r="C477" s="1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  <c r="AH477" s="52"/>
      <c r="AI477" s="52"/>
      <c r="AJ477" s="52"/>
      <c r="AK477" s="55"/>
    </row>
    <row r="478" customHeight="1" spans="2:37">
      <c r="B478" s="7"/>
      <c r="C478" s="1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5"/>
    </row>
    <row r="479" customHeight="1" spans="2:37">
      <c r="B479" s="7"/>
      <c r="C479" s="1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5"/>
    </row>
    <row r="480" customHeight="1" spans="2:37">
      <c r="B480" s="7"/>
      <c r="C480" s="1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5"/>
    </row>
    <row r="481" customHeight="1" spans="2:37">
      <c r="B481" s="7"/>
      <c r="C481" s="1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  <c r="AH481" s="52"/>
      <c r="AI481" s="52"/>
      <c r="AJ481" s="52"/>
      <c r="AK481" s="55"/>
    </row>
    <row r="482" customHeight="1" spans="2:37">
      <c r="B482" s="7"/>
      <c r="C482" s="1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5"/>
    </row>
    <row r="483" customHeight="1" spans="2:37">
      <c r="B483" s="7"/>
      <c r="C483" s="1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  <c r="AH483" s="52"/>
      <c r="AI483" s="52"/>
      <c r="AJ483" s="52"/>
      <c r="AK483" s="55"/>
    </row>
    <row r="484" customHeight="1" spans="2:37">
      <c r="B484" s="7"/>
      <c r="C484" s="1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5"/>
    </row>
    <row r="485" customHeight="1" spans="2:37">
      <c r="B485" s="7"/>
      <c r="C485" s="1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52"/>
      <c r="AK485" s="55"/>
    </row>
    <row r="486" customHeight="1" spans="2:37">
      <c r="B486" s="7"/>
      <c r="C486" s="1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5"/>
    </row>
    <row r="487" customHeight="1" spans="2:37">
      <c r="B487" s="7"/>
      <c r="C487" s="1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52"/>
      <c r="AK487" s="55"/>
    </row>
    <row r="488" customHeight="1" spans="2:37">
      <c r="B488" s="7"/>
      <c r="C488" s="1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5"/>
    </row>
    <row r="489" customHeight="1" spans="2:37">
      <c r="B489" s="7"/>
      <c r="C489" s="1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52"/>
      <c r="AK489" s="55"/>
    </row>
    <row r="490" customHeight="1" spans="2:37">
      <c r="B490" s="7"/>
      <c r="C490" s="1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5"/>
    </row>
    <row r="491" customHeight="1" spans="2:37">
      <c r="B491" s="7"/>
      <c r="C491" s="1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5"/>
    </row>
    <row r="492" customHeight="1" spans="2:37">
      <c r="B492" s="7"/>
      <c r="C492" s="1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5"/>
    </row>
    <row r="493" customHeight="1" spans="2:37">
      <c r="B493" s="7"/>
      <c r="C493" s="1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52"/>
      <c r="AK493" s="55"/>
    </row>
    <row r="494" customHeight="1" spans="2:37">
      <c r="B494" s="7"/>
      <c r="C494" s="1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5"/>
    </row>
    <row r="495" customHeight="1" spans="2:37">
      <c r="B495" s="7"/>
      <c r="C495" s="1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52"/>
      <c r="AK495" s="55"/>
    </row>
    <row r="496" customHeight="1" spans="2:37">
      <c r="B496" s="7"/>
      <c r="C496" s="1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52"/>
      <c r="AK496" s="55"/>
    </row>
    <row r="497" customHeight="1" spans="2:37">
      <c r="B497" s="7"/>
      <c r="C497" s="1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52"/>
      <c r="AK497" s="55"/>
    </row>
    <row r="498" customHeight="1" spans="2:37">
      <c r="B498" s="7"/>
      <c r="C498" s="1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52"/>
      <c r="AK498" s="55"/>
    </row>
    <row r="499" customHeight="1" spans="2:37">
      <c r="B499" s="7"/>
      <c r="C499" s="1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52"/>
      <c r="AK499" s="55"/>
    </row>
    <row r="500" customHeight="1" spans="2:37">
      <c r="B500" s="7"/>
      <c r="C500" s="1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52"/>
      <c r="AK500" s="55"/>
    </row>
    <row r="501" customHeight="1" spans="2:37">
      <c r="B501" s="7"/>
      <c r="C501" s="1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52"/>
      <c r="AK501" s="55"/>
    </row>
    <row r="502" customHeight="1" spans="2:37">
      <c r="B502" s="7"/>
      <c r="C502" s="1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52"/>
      <c r="AK502" s="55"/>
    </row>
    <row r="503" customHeight="1" spans="2:37">
      <c r="B503" s="7"/>
      <c r="C503" s="1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52"/>
      <c r="AK503" s="55"/>
    </row>
    <row r="504" customHeight="1" spans="2:37">
      <c r="B504" s="7"/>
      <c r="C504" s="1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52"/>
      <c r="AK504" s="55"/>
    </row>
    <row r="505" customHeight="1" spans="2:37">
      <c r="B505" s="7"/>
      <c r="C505" s="1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52"/>
      <c r="AK505" s="55"/>
    </row>
    <row r="506" customHeight="1" spans="2:37">
      <c r="B506" s="7"/>
      <c r="C506" s="1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52"/>
      <c r="AK506" s="55"/>
    </row>
    <row r="507" customHeight="1" spans="2:37">
      <c r="B507" s="7"/>
      <c r="C507" s="1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52"/>
      <c r="AK507" s="55"/>
    </row>
    <row r="508" customHeight="1" spans="2:37">
      <c r="B508" s="7"/>
      <c r="C508" s="1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52"/>
      <c r="AK508" s="55"/>
    </row>
    <row r="509" customHeight="1" spans="2:37">
      <c r="B509" s="7"/>
      <c r="C509" s="1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52"/>
      <c r="AK509" s="55"/>
    </row>
    <row r="510" customHeight="1" spans="2:37">
      <c r="B510" s="7"/>
      <c r="C510" s="1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5"/>
    </row>
    <row r="511" customHeight="1" spans="2:37">
      <c r="B511" s="7"/>
      <c r="C511" s="1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52"/>
      <c r="AK511" s="55"/>
    </row>
    <row r="512" customHeight="1" spans="2:37">
      <c r="B512" s="7"/>
      <c r="C512" s="1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5"/>
    </row>
    <row r="513" customHeight="1" spans="2:37">
      <c r="B513" s="7"/>
      <c r="C513" s="1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52"/>
      <c r="AK513" s="55"/>
    </row>
    <row r="514" customHeight="1" spans="2:37">
      <c r="B514" s="7"/>
      <c r="C514" s="1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52"/>
      <c r="AK514" s="55"/>
    </row>
    <row r="515" customHeight="1" spans="2:37">
      <c r="B515" s="7"/>
      <c r="C515" s="1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52"/>
      <c r="AK515" s="55"/>
    </row>
    <row r="516" customHeight="1" spans="2:37">
      <c r="B516" s="7"/>
      <c r="C516" s="1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52"/>
      <c r="AK516" s="55"/>
    </row>
    <row r="517" customHeight="1" spans="2:37">
      <c r="B517" s="7"/>
      <c r="C517" s="1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5"/>
    </row>
    <row r="518" customHeight="1" spans="2:37">
      <c r="B518" s="7"/>
      <c r="C518" s="1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52"/>
      <c r="AK518" s="55"/>
    </row>
    <row r="519" customHeight="1" spans="2:37">
      <c r="B519" s="7"/>
      <c r="C519" s="1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52"/>
      <c r="AK519" s="55"/>
    </row>
    <row r="520" customHeight="1" spans="2:37">
      <c r="B520" s="7"/>
      <c r="C520" s="1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52"/>
      <c r="AK520" s="55"/>
    </row>
    <row r="521" customHeight="1" spans="2:37">
      <c r="B521" s="7"/>
      <c r="C521" s="1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52"/>
      <c r="AK521" s="55"/>
    </row>
    <row r="522" customHeight="1" spans="2:37">
      <c r="B522" s="7"/>
      <c r="C522" s="1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52"/>
      <c r="AK522" s="55"/>
    </row>
    <row r="523" customHeight="1" spans="2:37">
      <c r="B523" s="7"/>
      <c r="C523" s="1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  <c r="AH523" s="52"/>
      <c r="AI523" s="52"/>
      <c r="AJ523" s="52"/>
      <c r="AK523" s="55"/>
    </row>
    <row r="524" customHeight="1" spans="2:37">
      <c r="B524" s="7"/>
      <c r="C524" s="1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  <c r="AH524" s="52"/>
      <c r="AI524" s="52"/>
      <c r="AJ524" s="52"/>
      <c r="AK524" s="55"/>
    </row>
    <row r="525" customHeight="1" spans="2:37">
      <c r="B525" s="7"/>
      <c r="C525" s="1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  <c r="AH525" s="52"/>
      <c r="AI525" s="52"/>
      <c r="AJ525" s="52"/>
      <c r="AK525" s="55"/>
    </row>
    <row r="526" customHeight="1" spans="2:37">
      <c r="B526" s="7"/>
      <c r="C526" s="1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52"/>
      <c r="AK526" s="55"/>
    </row>
    <row r="527" customHeight="1" spans="2:37">
      <c r="B527" s="7"/>
      <c r="C527" s="1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  <c r="AH527" s="52"/>
      <c r="AI527" s="52"/>
      <c r="AJ527" s="52"/>
      <c r="AK527" s="55"/>
    </row>
    <row r="528" customHeight="1" spans="2:37">
      <c r="B528" s="7"/>
      <c r="C528" s="1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52"/>
      <c r="AK528" s="55"/>
    </row>
    <row r="529" customHeight="1" spans="2:37">
      <c r="B529" s="7"/>
      <c r="C529" s="1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52"/>
      <c r="AK529" s="55"/>
    </row>
    <row r="530" customHeight="1" spans="2:37">
      <c r="B530" s="7"/>
      <c r="C530" s="1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  <c r="AH530" s="52"/>
      <c r="AI530" s="52"/>
      <c r="AJ530" s="52"/>
      <c r="AK530" s="55"/>
    </row>
    <row r="531" customHeight="1" spans="2:37">
      <c r="B531" s="7"/>
      <c r="C531" s="1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52"/>
      <c r="AK531" s="55"/>
    </row>
    <row r="532" customHeight="1" spans="2:37">
      <c r="B532" s="7"/>
      <c r="C532" s="1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52"/>
      <c r="AK532" s="55"/>
    </row>
    <row r="533" customHeight="1" spans="2:37">
      <c r="B533" s="7"/>
      <c r="C533" s="1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5"/>
    </row>
    <row r="534" customHeight="1" spans="2:37">
      <c r="B534" s="7"/>
      <c r="C534" s="1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52"/>
      <c r="AK534" s="55"/>
    </row>
    <row r="535" customHeight="1" spans="2:37">
      <c r="B535" s="7"/>
      <c r="C535" s="1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52"/>
      <c r="AK535" s="55"/>
    </row>
    <row r="536" customHeight="1" spans="2:37">
      <c r="B536" s="7"/>
      <c r="C536" s="1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52"/>
      <c r="AK536" s="55"/>
    </row>
    <row r="537" customHeight="1" spans="2:37">
      <c r="B537" s="7"/>
      <c r="C537" s="1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52"/>
      <c r="AK537" s="55"/>
    </row>
    <row r="538" customHeight="1" spans="2:37">
      <c r="B538" s="7"/>
      <c r="C538" s="1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52"/>
      <c r="AK538" s="55"/>
    </row>
    <row r="539" customHeight="1" spans="2:37">
      <c r="B539" s="7"/>
      <c r="C539" s="1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52"/>
      <c r="AK539" s="55"/>
    </row>
    <row r="540" customHeight="1" spans="2:37">
      <c r="B540" s="7"/>
      <c r="C540" s="1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52"/>
      <c r="AK540" s="55"/>
    </row>
    <row r="541" customHeight="1" spans="2:37">
      <c r="B541" s="7"/>
      <c r="C541" s="1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52"/>
      <c r="AK541" s="55"/>
    </row>
    <row r="542" customHeight="1" spans="2:37">
      <c r="B542" s="7"/>
      <c r="C542" s="1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52"/>
      <c r="AK542" s="55"/>
    </row>
    <row r="543" customHeight="1" spans="2:37">
      <c r="B543" s="7"/>
      <c r="C543" s="1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52"/>
      <c r="AK543" s="55"/>
    </row>
    <row r="544" customHeight="1" spans="2:37">
      <c r="B544" s="7"/>
      <c r="C544" s="1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52"/>
      <c r="AK544" s="55"/>
    </row>
    <row r="545" customHeight="1" spans="2:37">
      <c r="B545" s="7"/>
      <c r="C545" s="1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52"/>
      <c r="AK545" s="55"/>
    </row>
    <row r="546" customHeight="1" spans="2:37">
      <c r="B546" s="7"/>
      <c r="C546" s="1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5"/>
    </row>
    <row r="547" customHeight="1" spans="2:37">
      <c r="B547" s="7"/>
      <c r="C547" s="1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52"/>
      <c r="AK547" s="55"/>
    </row>
    <row r="548" customHeight="1" spans="2:37">
      <c r="B548" s="7"/>
      <c r="C548" s="1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5"/>
    </row>
    <row r="549" customHeight="1" spans="2:37">
      <c r="B549" s="7"/>
      <c r="C549" s="1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52"/>
      <c r="AK549" s="55"/>
    </row>
    <row r="550" customHeight="1" spans="2:37">
      <c r="B550" s="7"/>
      <c r="C550" s="1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5"/>
    </row>
    <row r="551" customHeight="1" spans="2:37">
      <c r="B551" s="7"/>
      <c r="C551" s="1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52"/>
      <c r="AK551" s="55"/>
    </row>
    <row r="552" customHeight="1" spans="2:37">
      <c r="B552" s="7"/>
      <c r="C552" s="1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5"/>
    </row>
    <row r="553" customHeight="1" spans="2:37">
      <c r="B553" s="7"/>
      <c r="C553" s="1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52"/>
      <c r="AK553" s="55"/>
    </row>
    <row r="554" customHeight="1" spans="2:37">
      <c r="B554" s="7"/>
      <c r="C554" s="1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5"/>
    </row>
    <row r="555" customHeight="1" spans="2:37">
      <c r="B555" s="7"/>
      <c r="C555" s="1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52"/>
      <c r="AK555" s="55"/>
    </row>
    <row r="556" customHeight="1" spans="2:37">
      <c r="B556" s="7"/>
      <c r="C556" s="1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52"/>
      <c r="AK556" s="55"/>
    </row>
    <row r="557" customHeight="1" spans="2:37">
      <c r="B557" s="7"/>
      <c r="C557" s="1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52"/>
      <c r="AK557" s="55"/>
    </row>
    <row r="558" customHeight="1" spans="2:37">
      <c r="B558" s="7"/>
      <c r="C558" s="1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52"/>
      <c r="AK558" s="55"/>
    </row>
    <row r="559" customHeight="1" spans="2:37">
      <c r="B559" s="7"/>
      <c r="C559" s="1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5"/>
    </row>
    <row r="560" customHeight="1" spans="2:37">
      <c r="B560" s="7"/>
      <c r="C560" s="1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52"/>
      <c r="AK560" s="55"/>
    </row>
    <row r="561" customHeight="1" spans="2:37">
      <c r="B561" s="7"/>
      <c r="C561" s="1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52"/>
      <c r="AK561" s="55"/>
    </row>
    <row r="562" customHeight="1" spans="2:37">
      <c r="B562" s="7"/>
      <c r="C562" s="1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52"/>
      <c r="AK562" s="55"/>
    </row>
    <row r="563" customHeight="1" spans="2:37">
      <c r="B563" s="7"/>
      <c r="C563" s="1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52"/>
      <c r="AK563" s="55"/>
    </row>
    <row r="564" customHeight="1" spans="2:37">
      <c r="B564" s="7"/>
      <c r="C564" s="1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52"/>
      <c r="AK564" s="55"/>
    </row>
    <row r="565" customHeight="1" spans="2:37">
      <c r="B565" s="7"/>
      <c r="C565" s="1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52"/>
      <c r="AK565" s="55"/>
    </row>
    <row r="566" customHeight="1" spans="2:37">
      <c r="B566" s="7"/>
      <c r="C566" s="1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52"/>
      <c r="AK566" s="55"/>
    </row>
    <row r="567" customHeight="1" spans="2:37">
      <c r="B567" s="7"/>
      <c r="C567" s="1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52"/>
      <c r="AK567" s="55"/>
    </row>
    <row r="568" customHeight="1" spans="2:37">
      <c r="B568" s="7"/>
      <c r="C568" s="1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52"/>
      <c r="AK568" s="55"/>
    </row>
    <row r="569" customHeight="1" spans="2:37">
      <c r="B569" s="7"/>
      <c r="C569" s="1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52"/>
      <c r="AK569" s="55"/>
    </row>
    <row r="570" customHeight="1" spans="2:37">
      <c r="B570" s="7"/>
      <c r="C570" s="1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52"/>
      <c r="AK570" s="55"/>
    </row>
    <row r="571" customHeight="1" spans="2:37">
      <c r="B571" s="7"/>
      <c r="C571" s="1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52"/>
      <c r="AK571" s="55"/>
    </row>
    <row r="572" customHeight="1" spans="2:37">
      <c r="B572" s="7"/>
      <c r="C572" s="1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52"/>
      <c r="AK572" s="55"/>
    </row>
    <row r="573" customHeight="1" spans="2:37">
      <c r="B573" s="7"/>
      <c r="C573" s="1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52"/>
      <c r="AK573" s="55"/>
    </row>
    <row r="574" customHeight="1" spans="2:37">
      <c r="B574" s="7"/>
      <c r="C574" s="1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52"/>
      <c r="AK574" s="55"/>
    </row>
    <row r="575" customHeight="1" spans="2:37">
      <c r="B575" s="7"/>
      <c r="C575" s="1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52"/>
      <c r="AK575" s="55"/>
    </row>
    <row r="576" customHeight="1" spans="2:37">
      <c r="B576" s="7"/>
      <c r="C576" s="1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52"/>
      <c r="AK576" s="55"/>
    </row>
    <row r="577" customHeight="1" spans="2:37">
      <c r="B577" s="7"/>
      <c r="C577" s="1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52"/>
      <c r="AK577" s="55"/>
    </row>
    <row r="578" customHeight="1" spans="2:37">
      <c r="B578" s="7"/>
      <c r="C578" s="1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52"/>
      <c r="AK578" s="55"/>
    </row>
    <row r="579" customHeight="1" spans="2:37">
      <c r="B579" s="7"/>
      <c r="C579" s="1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52"/>
      <c r="AK579" s="55"/>
    </row>
    <row r="580" customHeight="1" spans="2:37">
      <c r="B580" s="7"/>
      <c r="C580" s="1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52"/>
      <c r="AK580" s="55"/>
    </row>
    <row r="581" customHeight="1" spans="2:37">
      <c r="B581" s="7"/>
      <c r="C581" s="1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52"/>
      <c r="AK581" s="55"/>
    </row>
    <row r="582" customHeight="1" spans="2:37">
      <c r="B582" s="7"/>
      <c r="C582" s="1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52"/>
      <c r="AK582" s="55"/>
    </row>
    <row r="583" customHeight="1" spans="2:37">
      <c r="B583" s="7"/>
      <c r="C583" s="1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52"/>
      <c r="AK583" s="55"/>
    </row>
    <row r="584" customHeight="1" spans="2:37">
      <c r="B584" s="7"/>
      <c r="C584" s="1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5"/>
    </row>
    <row r="585" customHeight="1" spans="2:37">
      <c r="B585" s="7"/>
      <c r="C585" s="1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52"/>
      <c r="AK585" s="55"/>
    </row>
    <row r="586" customHeight="1" spans="2:37">
      <c r="B586" s="7"/>
      <c r="C586" s="1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5"/>
    </row>
    <row r="587" customHeight="1" spans="2:37">
      <c r="B587" s="7"/>
      <c r="C587" s="1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52"/>
      <c r="AK587" s="55"/>
    </row>
    <row r="588" customHeight="1" spans="2:37">
      <c r="B588" s="7"/>
      <c r="C588" s="1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5"/>
    </row>
    <row r="589" customHeight="1" spans="2:37">
      <c r="B589" s="7"/>
      <c r="C589" s="1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52"/>
      <c r="AK589" s="55"/>
    </row>
    <row r="590" customHeight="1" spans="2:37">
      <c r="B590" s="7"/>
      <c r="C590" s="1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5"/>
    </row>
    <row r="591" customHeight="1" spans="2:37">
      <c r="B591" s="7"/>
      <c r="C591" s="1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52"/>
      <c r="AK591" s="55"/>
    </row>
    <row r="592" customHeight="1" spans="2:37">
      <c r="B592" s="7"/>
      <c r="C592" s="1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5"/>
    </row>
    <row r="593" customHeight="1" spans="2:37">
      <c r="B593" s="7"/>
      <c r="C593" s="1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52"/>
      <c r="AK593" s="55"/>
    </row>
    <row r="594" customHeight="1" spans="2:37">
      <c r="B594" s="7"/>
      <c r="C594" s="1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5"/>
    </row>
    <row r="595" customHeight="1" spans="2:37">
      <c r="B595" s="7"/>
      <c r="C595" s="1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  <c r="AH595" s="52"/>
      <c r="AI595" s="52"/>
      <c r="AJ595" s="52"/>
      <c r="AK595" s="55"/>
    </row>
    <row r="596" customHeight="1" spans="2:37">
      <c r="B596" s="7"/>
      <c r="C596" s="1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5"/>
    </row>
    <row r="597" customHeight="1" spans="2:37">
      <c r="B597" s="7"/>
      <c r="C597" s="1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  <c r="AH597" s="52"/>
      <c r="AI597" s="52"/>
      <c r="AJ597" s="52"/>
      <c r="AK597" s="55"/>
    </row>
    <row r="598" customHeight="1" spans="2:37">
      <c r="B598" s="7"/>
      <c r="C598" s="1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5"/>
    </row>
    <row r="599" customHeight="1" spans="2:37">
      <c r="B599" s="7"/>
      <c r="C599" s="1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  <c r="AH599" s="52"/>
      <c r="AI599" s="52"/>
      <c r="AJ599" s="52"/>
      <c r="AK599" s="55"/>
    </row>
    <row r="600" customHeight="1" spans="2:37">
      <c r="B600" s="7"/>
      <c r="C600" s="1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  <c r="AH600" s="52"/>
      <c r="AI600" s="52"/>
      <c r="AJ600" s="52"/>
      <c r="AK600" s="55"/>
    </row>
    <row r="601" customHeight="1" spans="2:37">
      <c r="B601" s="7"/>
      <c r="C601" s="1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  <c r="AH601" s="52"/>
      <c r="AI601" s="52"/>
      <c r="AJ601" s="52"/>
      <c r="AK601" s="55"/>
    </row>
    <row r="602" customHeight="1" spans="2:37">
      <c r="B602" s="7"/>
      <c r="C602" s="1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  <c r="AH602" s="52"/>
      <c r="AI602" s="52"/>
      <c r="AJ602" s="52"/>
      <c r="AK602" s="55"/>
    </row>
    <row r="603" customHeight="1" spans="2:37">
      <c r="B603" s="7"/>
      <c r="C603" s="1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  <c r="AH603" s="52"/>
      <c r="AI603" s="52"/>
      <c r="AJ603" s="52"/>
      <c r="AK603" s="55"/>
    </row>
    <row r="604" customHeight="1" spans="2:37">
      <c r="B604" s="7"/>
      <c r="C604" s="1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  <c r="AH604" s="52"/>
      <c r="AI604" s="52"/>
      <c r="AJ604" s="52"/>
      <c r="AK604" s="55"/>
    </row>
    <row r="605" customHeight="1" spans="2:37">
      <c r="B605" s="7"/>
      <c r="C605" s="1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52"/>
      <c r="AK605" s="55"/>
    </row>
    <row r="606" customHeight="1" spans="2:37">
      <c r="B606" s="7"/>
      <c r="C606" s="1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52"/>
      <c r="AK606" s="55"/>
    </row>
    <row r="607" customHeight="1" spans="2:37">
      <c r="B607" s="7"/>
      <c r="C607" s="1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52"/>
      <c r="AK607" s="55"/>
    </row>
    <row r="608" customHeight="1" spans="2:37">
      <c r="B608" s="7"/>
      <c r="C608" s="1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52"/>
      <c r="AK608" s="55"/>
    </row>
    <row r="609" customHeight="1" spans="2:37">
      <c r="B609" s="7"/>
      <c r="C609" s="1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52"/>
      <c r="AK609" s="55"/>
    </row>
    <row r="610" customHeight="1" spans="2:37">
      <c r="B610" s="7"/>
      <c r="C610" s="1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52"/>
      <c r="AK610" s="55"/>
    </row>
    <row r="611" customHeight="1" spans="2:37">
      <c r="B611" s="7"/>
      <c r="C611" s="1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  <c r="AH611" s="52"/>
      <c r="AI611" s="52"/>
      <c r="AJ611" s="52"/>
      <c r="AK611" s="55"/>
    </row>
    <row r="612" customHeight="1" spans="2:37">
      <c r="B612" s="7"/>
      <c r="C612" s="1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  <c r="AH612" s="52"/>
      <c r="AI612" s="52"/>
      <c r="AJ612" s="52"/>
      <c r="AK612" s="55"/>
    </row>
    <row r="613" customHeight="1" spans="2:37">
      <c r="B613" s="7"/>
      <c r="C613" s="1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  <c r="AH613" s="52"/>
      <c r="AI613" s="52"/>
      <c r="AJ613" s="52"/>
      <c r="AK613" s="55"/>
    </row>
    <row r="614" customHeight="1" spans="2:37">
      <c r="B614" s="7"/>
      <c r="C614" s="1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5"/>
    </row>
    <row r="615" customHeight="1" spans="2:37">
      <c r="B615" s="7"/>
      <c r="C615" s="1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  <c r="AH615" s="52"/>
      <c r="AI615" s="52"/>
      <c r="AJ615" s="52"/>
      <c r="AK615" s="55"/>
    </row>
    <row r="616" customHeight="1" spans="2:37">
      <c r="B616" s="7"/>
      <c r="C616" s="1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5"/>
    </row>
    <row r="617" customHeight="1" spans="2:37">
      <c r="B617" s="7"/>
      <c r="C617" s="1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52"/>
      <c r="AK617" s="55"/>
    </row>
    <row r="618" customHeight="1" spans="2:37">
      <c r="B618" s="7"/>
      <c r="C618" s="1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52"/>
      <c r="AK618" s="55"/>
    </row>
    <row r="619" customHeight="1" spans="2:37">
      <c r="B619" s="7"/>
      <c r="C619" s="1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52"/>
      <c r="AK619" s="55"/>
    </row>
    <row r="620" customHeight="1" spans="2:37">
      <c r="B620" s="7"/>
      <c r="C620" s="1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52"/>
      <c r="AK620" s="55"/>
    </row>
    <row r="621" customHeight="1" spans="2:37">
      <c r="B621" s="7"/>
      <c r="C621" s="1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  <c r="AH621" s="52"/>
      <c r="AI621" s="52"/>
      <c r="AJ621" s="52"/>
      <c r="AK621" s="55"/>
    </row>
    <row r="622" customHeight="1" spans="2:37">
      <c r="B622" s="7"/>
      <c r="C622" s="1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  <c r="AH622" s="52"/>
      <c r="AI622" s="52"/>
      <c r="AJ622" s="52"/>
      <c r="AK622" s="55"/>
    </row>
    <row r="623" customHeight="1" spans="2:37">
      <c r="B623" s="7"/>
      <c r="C623" s="1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  <c r="AH623" s="52"/>
      <c r="AI623" s="52"/>
      <c r="AJ623" s="52"/>
      <c r="AK623" s="55"/>
    </row>
    <row r="624" customHeight="1" spans="2:37">
      <c r="B624" s="7"/>
      <c r="C624" s="1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5"/>
    </row>
    <row r="625" customHeight="1" spans="2:37">
      <c r="B625" s="7"/>
      <c r="C625" s="1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  <c r="AH625" s="52"/>
      <c r="AI625" s="52"/>
      <c r="AJ625" s="52"/>
      <c r="AK625" s="55"/>
    </row>
    <row r="626" customHeight="1" spans="2:37">
      <c r="B626" s="7"/>
      <c r="C626" s="1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  <c r="AH626" s="52"/>
      <c r="AI626" s="52"/>
      <c r="AJ626" s="52"/>
      <c r="AK626" s="55"/>
    </row>
    <row r="627" customHeight="1" spans="2:37">
      <c r="B627" s="7"/>
      <c r="C627" s="1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  <c r="AH627" s="52"/>
      <c r="AI627" s="52"/>
      <c r="AJ627" s="52"/>
      <c r="AK627" s="55"/>
    </row>
    <row r="628" customHeight="1" spans="2:37">
      <c r="B628" s="7"/>
      <c r="C628" s="1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  <c r="AH628" s="52"/>
      <c r="AI628" s="52"/>
      <c r="AJ628" s="52"/>
      <c r="AK628" s="55"/>
    </row>
    <row r="629" customHeight="1" spans="2:37">
      <c r="B629" s="7"/>
      <c r="C629" s="1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  <c r="AH629" s="52"/>
      <c r="AI629" s="52"/>
      <c r="AJ629" s="52"/>
      <c r="AK629" s="55"/>
    </row>
    <row r="630" customHeight="1" spans="2:37">
      <c r="B630" s="7"/>
      <c r="C630" s="1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  <c r="AH630" s="52"/>
      <c r="AI630" s="52"/>
      <c r="AJ630" s="52"/>
      <c r="AK630" s="55"/>
    </row>
    <row r="631" customHeight="1" spans="2:37">
      <c r="B631" s="7"/>
      <c r="C631" s="1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52"/>
      <c r="AK631" s="55"/>
    </row>
    <row r="632" customHeight="1" spans="2:37">
      <c r="B632" s="7"/>
      <c r="C632" s="1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52"/>
      <c r="AK632" s="55"/>
    </row>
    <row r="633" customHeight="1" spans="2:37">
      <c r="B633" s="7"/>
      <c r="C633" s="1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52"/>
      <c r="AK633" s="55"/>
    </row>
    <row r="634" customHeight="1" spans="2:37">
      <c r="B634" s="7"/>
      <c r="C634" s="1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  <c r="AH634" s="52"/>
      <c r="AI634" s="52"/>
      <c r="AJ634" s="52"/>
      <c r="AK634" s="55"/>
    </row>
    <row r="635" customHeight="1" spans="2:37">
      <c r="B635" s="7"/>
      <c r="C635" s="1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5"/>
    </row>
    <row r="636" customHeight="1" spans="2:37">
      <c r="B636" s="7"/>
      <c r="C636" s="1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  <c r="AH636" s="52"/>
      <c r="AI636" s="52"/>
      <c r="AJ636" s="52"/>
      <c r="AK636" s="55"/>
    </row>
    <row r="637" customHeight="1" spans="2:37">
      <c r="B637" s="7"/>
      <c r="C637" s="1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5"/>
    </row>
    <row r="638" customHeight="1" spans="2:37">
      <c r="B638" s="7"/>
      <c r="C638" s="1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  <c r="AH638" s="52"/>
      <c r="AI638" s="52"/>
      <c r="AJ638" s="52"/>
      <c r="AK638" s="55"/>
    </row>
    <row r="639" customHeight="1" spans="2:37">
      <c r="B639" s="7"/>
      <c r="C639" s="1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  <c r="AH639" s="52"/>
      <c r="AI639" s="52"/>
      <c r="AJ639" s="52"/>
      <c r="AK639" s="55"/>
    </row>
    <row r="640" customHeight="1" spans="2:37">
      <c r="B640" s="7"/>
      <c r="C640" s="1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  <c r="AH640" s="52"/>
      <c r="AI640" s="52"/>
      <c r="AJ640" s="52"/>
      <c r="AK640" s="55"/>
    </row>
    <row r="641" customHeight="1" spans="2:37">
      <c r="B641" s="7"/>
      <c r="C641" s="1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  <c r="AH641" s="52"/>
      <c r="AI641" s="52"/>
      <c r="AJ641" s="52"/>
      <c r="AK641" s="55"/>
    </row>
    <row r="642" customHeight="1" spans="2:37">
      <c r="B642" s="7"/>
      <c r="C642" s="1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  <c r="AH642" s="52"/>
      <c r="AI642" s="52"/>
      <c r="AJ642" s="52"/>
      <c r="AK642" s="55"/>
    </row>
    <row r="643" customHeight="1" spans="2:37">
      <c r="B643" s="7"/>
      <c r="C643" s="1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  <c r="AJ643" s="52"/>
      <c r="AK643" s="55"/>
    </row>
    <row r="644" customHeight="1" spans="2:37">
      <c r="B644" s="7"/>
      <c r="C644" s="1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  <c r="AH644" s="52"/>
      <c r="AI644" s="52"/>
      <c r="AJ644" s="52"/>
      <c r="AK644" s="55"/>
    </row>
    <row r="645" customHeight="1" spans="2:37">
      <c r="B645" s="7"/>
      <c r="C645" s="1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  <c r="AH645" s="52"/>
      <c r="AI645" s="52"/>
      <c r="AJ645" s="52"/>
      <c r="AK645" s="55"/>
    </row>
    <row r="646" customHeight="1" spans="2:37">
      <c r="B646" s="7"/>
      <c r="C646" s="1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  <c r="AH646" s="52"/>
      <c r="AI646" s="52"/>
      <c r="AJ646" s="52"/>
      <c r="AK646" s="55"/>
    </row>
    <row r="647" customHeight="1" spans="2:37">
      <c r="B647" s="7"/>
      <c r="C647" s="1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  <c r="AH647" s="52"/>
      <c r="AI647" s="52"/>
      <c r="AJ647" s="52"/>
      <c r="AK647" s="55"/>
    </row>
    <row r="648" customHeight="1" spans="2:37">
      <c r="B648" s="7"/>
      <c r="C648" s="1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  <c r="AH648" s="52"/>
      <c r="AI648" s="52"/>
      <c r="AJ648" s="52"/>
      <c r="AK648" s="55"/>
    </row>
    <row r="649" customHeight="1" spans="2:37">
      <c r="B649" s="7"/>
      <c r="C649" s="1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  <c r="AH649" s="52"/>
      <c r="AI649" s="52"/>
      <c r="AJ649" s="52"/>
      <c r="AK649" s="55"/>
    </row>
    <row r="650" customHeight="1" spans="2:37">
      <c r="B650" s="7"/>
      <c r="C650" s="1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  <c r="AH650" s="52"/>
      <c r="AI650" s="52"/>
      <c r="AJ650" s="52"/>
      <c r="AK650" s="55"/>
    </row>
    <row r="651" customHeight="1" spans="2:37">
      <c r="B651" s="7"/>
      <c r="C651" s="1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5"/>
    </row>
    <row r="652" customHeight="1" spans="2:37">
      <c r="B652" s="7"/>
      <c r="C652" s="1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  <c r="AH652" s="52"/>
      <c r="AI652" s="52"/>
      <c r="AJ652" s="52"/>
      <c r="AK652" s="55"/>
    </row>
    <row r="653" customHeight="1" spans="2:37">
      <c r="B653" s="7"/>
      <c r="C653" s="1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  <c r="AH653" s="52"/>
      <c r="AI653" s="52"/>
      <c r="AJ653" s="52"/>
      <c r="AK653" s="55"/>
    </row>
    <row r="654" customHeight="1" spans="2:37">
      <c r="B654" s="7"/>
      <c r="C654" s="1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  <c r="AH654" s="52"/>
      <c r="AI654" s="52"/>
      <c r="AJ654" s="52"/>
      <c r="AK654" s="55"/>
    </row>
    <row r="655" customHeight="1" spans="2:37">
      <c r="B655" s="7"/>
      <c r="C655" s="1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  <c r="AH655" s="52"/>
      <c r="AI655" s="52"/>
      <c r="AJ655" s="52"/>
      <c r="AK655" s="55"/>
    </row>
    <row r="656" customHeight="1" spans="2:37">
      <c r="B656" s="7"/>
      <c r="C656" s="1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  <c r="AH656" s="52"/>
      <c r="AI656" s="52"/>
      <c r="AJ656" s="52"/>
      <c r="AK656" s="55"/>
    </row>
    <row r="657" customHeight="1" spans="2:37">
      <c r="B657" s="7"/>
      <c r="C657" s="1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  <c r="AH657" s="52"/>
      <c r="AI657" s="52"/>
      <c r="AJ657" s="52"/>
      <c r="AK657" s="55"/>
    </row>
    <row r="658" customHeight="1" spans="2:37">
      <c r="B658" s="7"/>
      <c r="C658" s="1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  <c r="AH658" s="52"/>
      <c r="AI658" s="52"/>
      <c r="AJ658" s="52"/>
      <c r="AK658" s="55"/>
    </row>
    <row r="659" customHeight="1" spans="2:37">
      <c r="B659" s="7"/>
      <c r="C659" s="1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  <c r="AH659" s="52"/>
      <c r="AI659" s="52"/>
      <c r="AJ659" s="52"/>
      <c r="AK659" s="55"/>
    </row>
    <row r="660" customHeight="1" spans="2:37">
      <c r="B660" s="7"/>
      <c r="C660" s="1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  <c r="AH660" s="52"/>
      <c r="AI660" s="52"/>
      <c r="AJ660" s="52"/>
      <c r="AK660" s="55"/>
    </row>
    <row r="661" customHeight="1" spans="2:37">
      <c r="B661" s="7"/>
      <c r="C661" s="1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  <c r="AH661" s="52"/>
      <c r="AI661" s="52"/>
      <c r="AJ661" s="52"/>
      <c r="AK661" s="55"/>
    </row>
    <row r="662" customHeight="1" spans="2:37">
      <c r="B662" s="7"/>
      <c r="C662" s="1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  <c r="AH662" s="52"/>
      <c r="AI662" s="52"/>
      <c r="AJ662" s="52"/>
      <c r="AK662" s="55"/>
    </row>
    <row r="663" customHeight="1" spans="2:37">
      <c r="B663" s="7"/>
      <c r="C663" s="1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  <c r="AH663" s="52"/>
      <c r="AI663" s="52"/>
      <c r="AJ663" s="52"/>
      <c r="AK663" s="55"/>
    </row>
    <row r="664" customHeight="1" spans="2:37">
      <c r="B664" s="7"/>
      <c r="C664" s="1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  <c r="AH664" s="52"/>
      <c r="AI664" s="52"/>
      <c r="AJ664" s="52"/>
      <c r="AK664" s="55"/>
    </row>
    <row r="665" customHeight="1" spans="2:37">
      <c r="B665" s="7"/>
      <c r="C665" s="1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  <c r="AH665" s="52"/>
      <c r="AI665" s="52"/>
      <c r="AJ665" s="52"/>
      <c r="AK665" s="55"/>
    </row>
    <row r="666" customHeight="1" spans="2:37">
      <c r="B666" s="7"/>
      <c r="C666" s="1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  <c r="AH666" s="52"/>
      <c r="AI666" s="52"/>
      <c r="AJ666" s="52"/>
      <c r="AK666" s="55"/>
    </row>
    <row r="667" customHeight="1" spans="2:37">
      <c r="B667" s="7"/>
      <c r="C667" s="1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  <c r="AH667" s="52"/>
      <c r="AI667" s="52"/>
      <c r="AJ667" s="52"/>
      <c r="AK667" s="55"/>
    </row>
    <row r="668" customHeight="1" spans="2:37">
      <c r="B668" s="7"/>
      <c r="C668" s="1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  <c r="AH668" s="52"/>
      <c r="AI668" s="52"/>
      <c r="AJ668" s="52"/>
      <c r="AK668" s="55"/>
    </row>
    <row r="669" customHeight="1" spans="2:37">
      <c r="B669" s="7"/>
      <c r="C669" s="1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  <c r="AH669" s="52"/>
      <c r="AI669" s="52"/>
      <c r="AJ669" s="52"/>
      <c r="AK669" s="55"/>
    </row>
    <row r="670" customHeight="1" spans="2:37">
      <c r="B670" s="7"/>
      <c r="C670" s="1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  <c r="AH670" s="52"/>
      <c r="AI670" s="52"/>
      <c r="AJ670" s="52"/>
      <c r="AK670" s="55"/>
    </row>
    <row r="671" customHeight="1" spans="2:37">
      <c r="B671" s="7"/>
      <c r="C671" s="1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  <c r="AH671" s="52"/>
      <c r="AI671" s="52"/>
      <c r="AJ671" s="52"/>
      <c r="AK671" s="55"/>
    </row>
    <row r="672" customHeight="1" spans="2:37">
      <c r="B672" s="7"/>
      <c r="C672" s="1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  <c r="AH672" s="52"/>
      <c r="AI672" s="52"/>
      <c r="AJ672" s="52"/>
      <c r="AK672" s="55"/>
    </row>
    <row r="673" customHeight="1" spans="2:37">
      <c r="B673" s="7"/>
      <c r="C673" s="1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  <c r="AH673" s="52"/>
      <c r="AI673" s="52"/>
      <c r="AJ673" s="52"/>
      <c r="AK673" s="55"/>
    </row>
    <row r="674" customHeight="1" spans="2:37">
      <c r="B674" s="7"/>
      <c r="C674" s="1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  <c r="AH674" s="52"/>
      <c r="AI674" s="52"/>
      <c r="AJ674" s="52"/>
      <c r="AK674" s="55"/>
    </row>
    <row r="675" customHeight="1" spans="2:37">
      <c r="B675" s="7"/>
      <c r="C675" s="1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  <c r="AH675" s="52"/>
      <c r="AI675" s="52"/>
      <c r="AJ675" s="52"/>
      <c r="AK675" s="55"/>
    </row>
    <row r="676" customHeight="1" spans="2:37">
      <c r="B676" s="7"/>
      <c r="C676" s="1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  <c r="AH676" s="52"/>
      <c r="AI676" s="52"/>
      <c r="AJ676" s="52"/>
      <c r="AK676" s="55"/>
    </row>
    <row r="677" customHeight="1" spans="2:37">
      <c r="B677" s="7"/>
      <c r="C677" s="1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  <c r="AH677" s="52"/>
      <c r="AI677" s="52"/>
      <c r="AJ677" s="52"/>
      <c r="AK677" s="55"/>
    </row>
    <row r="678" customHeight="1" spans="2:37">
      <c r="B678" s="7"/>
      <c r="C678" s="1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  <c r="AH678" s="52"/>
      <c r="AI678" s="52"/>
      <c r="AJ678" s="52"/>
      <c r="AK678" s="55"/>
    </row>
    <row r="679" customHeight="1" spans="2:37">
      <c r="B679" s="7"/>
      <c r="C679" s="1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  <c r="AH679" s="52"/>
      <c r="AI679" s="52"/>
      <c r="AJ679" s="52"/>
      <c r="AK679" s="55"/>
    </row>
    <row r="680" customHeight="1" spans="2:37">
      <c r="B680" s="7"/>
      <c r="C680" s="1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  <c r="AH680" s="52"/>
      <c r="AI680" s="52"/>
      <c r="AJ680" s="52"/>
      <c r="AK680" s="55"/>
    </row>
    <row r="681" customHeight="1" spans="2:37">
      <c r="B681" s="7"/>
      <c r="C681" s="1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  <c r="AH681" s="52"/>
      <c r="AI681" s="52"/>
      <c r="AJ681" s="52"/>
      <c r="AK681" s="55"/>
    </row>
    <row r="682" customHeight="1" spans="2:37">
      <c r="B682" s="7"/>
      <c r="C682" s="1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  <c r="AH682" s="52"/>
      <c r="AI682" s="52"/>
      <c r="AJ682" s="52"/>
      <c r="AK682" s="55"/>
    </row>
    <row r="683" customHeight="1" spans="2:37">
      <c r="B683" s="7"/>
      <c r="C683" s="1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  <c r="AH683" s="52"/>
      <c r="AI683" s="52"/>
      <c r="AJ683" s="52"/>
      <c r="AK683" s="55"/>
    </row>
    <row r="684" customHeight="1" spans="2:37">
      <c r="B684" s="7"/>
      <c r="C684" s="1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  <c r="AH684" s="52"/>
      <c r="AI684" s="52"/>
      <c r="AJ684" s="52"/>
      <c r="AK684" s="55"/>
    </row>
    <row r="685" customHeight="1" spans="2:37">
      <c r="B685" s="7"/>
      <c r="C685" s="1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  <c r="AH685" s="52"/>
      <c r="AI685" s="52"/>
      <c r="AJ685" s="52"/>
      <c r="AK685" s="55"/>
    </row>
    <row r="686" customHeight="1" spans="2:37">
      <c r="B686" s="7"/>
      <c r="C686" s="1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  <c r="AH686" s="52"/>
      <c r="AI686" s="52"/>
      <c r="AJ686" s="52"/>
      <c r="AK686" s="55"/>
    </row>
    <row r="687" customHeight="1" spans="2:37">
      <c r="B687" s="7"/>
      <c r="C687" s="1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  <c r="AH687" s="52"/>
      <c r="AI687" s="52"/>
      <c r="AJ687" s="52"/>
      <c r="AK687" s="55"/>
    </row>
    <row r="688" customHeight="1" spans="2:37">
      <c r="B688" s="7"/>
      <c r="C688" s="1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  <c r="AH688" s="52"/>
      <c r="AI688" s="52"/>
      <c r="AJ688" s="52"/>
      <c r="AK688" s="55"/>
    </row>
    <row r="689" customHeight="1" spans="2:37">
      <c r="B689" s="7"/>
      <c r="C689" s="1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  <c r="AJ689" s="52"/>
      <c r="AK689" s="55"/>
    </row>
    <row r="690" customHeight="1" spans="2:37">
      <c r="B690" s="7"/>
      <c r="C690" s="1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  <c r="AH690" s="52"/>
      <c r="AI690" s="52"/>
      <c r="AJ690" s="52"/>
      <c r="AK690" s="55"/>
    </row>
    <row r="691" customHeight="1" spans="2:37">
      <c r="B691" s="7"/>
      <c r="C691" s="1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  <c r="AH691" s="52"/>
      <c r="AI691" s="52"/>
      <c r="AJ691" s="52"/>
      <c r="AK691" s="55"/>
    </row>
    <row r="692" customHeight="1" spans="2:37">
      <c r="B692" s="7"/>
      <c r="C692" s="1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  <c r="AH692" s="52"/>
      <c r="AI692" s="52"/>
      <c r="AJ692" s="52"/>
      <c r="AK692" s="55"/>
    </row>
    <row r="693" customHeight="1" spans="2:37">
      <c r="B693" s="7"/>
      <c r="C693" s="1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  <c r="AH693" s="52"/>
      <c r="AI693" s="52"/>
      <c r="AJ693" s="52"/>
      <c r="AK693" s="55"/>
    </row>
    <row r="694" customHeight="1" spans="2:37">
      <c r="B694" s="7"/>
      <c r="C694" s="1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  <c r="AH694" s="52"/>
      <c r="AI694" s="52"/>
      <c r="AJ694" s="52"/>
      <c r="AK694" s="55"/>
    </row>
    <row r="695" customHeight="1" spans="2:37">
      <c r="B695" s="7"/>
      <c r="C695" s="1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  <c r="AH695" s="52"/>
      <c r="AI695" s="52"/>
      <c r="AJ695" s="52"/>
      <c r="AK695" s="55"/>
    </row>
    <row r="696" customHeight="1" spans="2:37">
      <c r="B696" s="7"/>
      <c r="C696" s="1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  <c r="AH696" s="52"/>
      <c r="AI696" s="52"/>
      <c r="AJ696" s="52"/>
      <c r="AK696" s="55"/>
    </row>
    <row r="697" customHeight="1" spans="2:37">
      <c r="B697" s="7"/>
      <c r="C697" s="1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  <c r="AH697" s="52"/>
      <c r="AI697" s="52"/>
      <c r="AJ697" s="52"/>
      <c r="AK697" s="55"/>
    </row>
    <row r="698" customHeight="1" spans="2:37">
      <c r="B698" s="7"/>
      <c r="C698" s="1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  <c r="AH698" s="52"/>
      <c r="AI698" s="52"/>
      <c r="AJ698" s="52"/>
      <c r="AK698" s="55"/>
    </row>
    <row r="699" customHeight="1" spans="2:37">
      <c r="B699" s="7"/>
      <c r="C699" s="1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  <c r="AH699" s="52"/>
      <c r="AI699" s="52"/>
      <c r="AJ699" s="52"/>
      <c r="AK699" s="55"/>
    </row>
    <row r="700" customHeight="1" spans="2:37">
      <c r="B700" s="7"/>
      <c r="C700" s="1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  <c r="AH700" s="52"/>
      <c r="AI700" s="52"/>
      <c r="AJ700" s="52"/>
      <c r="AK700" s="55"/>
    </row>
    <row r="701" customHeight="1" spans="2:37">
      <c r="B701" s="7"/>
      <c r="C701" s="1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  <c r="AH701" s="52"/>
      <c r="AI701" s="52"/>
      <c r="AJ701" s="52"/>
      <c r="AK701" s="55"/>
    </row>
    <row r="702" customHeight="1" spans="2:37">
      <c r="B702" s="7"/>
      <c r="C702" s="1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  <c r="AH702" s="52"/>
      <c r="AI702" s="52"/>
      <c r="AJ702" s="52"/>
      <c r="AK702" s="55"/>
    </row>
    <row r="703" customHeight="1" spans="2:37">
      <c r="B703" s="7"/>
      <c r="C703" s="1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5"/>
    </row>
    <row r="704" customHeight="1" spans="2:37">
      <c r="B704" s="7"/>
      <c r="C704" s="1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  <c r="AH704" s="52"/>
      <c r="AI704" s="52"/>
      <c r="AJ704" s="52"/>
      <c r="AK704" s="55"/>
    </row>
    <row r="705" customHeight="1" spans="2:37">
      <c r="B705" s="7"/>
      <c r="C705" s="1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5"/>
    </row>
    <row r="706" customHeight="1" spans="2:37">
      <c r="B706" s="7"/>
      <c r="C706" s="1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  <c r="AH706" s="52"/>
      <c r="AI706" s="52"/>
      <c r="AJ706" s="52"/>
      <c r="AK706" s="55"/>
    </row>
    <row r="707" customHeight="1" spans="2:37">
      <c r="B707" s="7"/>
      <c r="C707" s="1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  <c r="AH707" s="52"/>
      <c r="AI707" s="52"/>
      <c r="AJ707" s="52"/>
      <c r="AK707" s="55"/>
    </row>
    <row r="708" customHeight="1" spans="2:37">
      <c r="B708" s="7"/>
      <c r="C708" s="1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  <c r="AH708" s="52"/>
      <c r="AI708" s="52"/>
      <c r="AJ708" s="52"/>
      <c r="AK708" s="55"/>
    </row>
    <row r="709" customHeight="1" spans="2:37">
      <c r="B709" s="7"/>
      <c r="C709" s="1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  <c r="AH709" s="52"/>
      <c r="AI709" s="52"/>
      <c r="AJ709" s="52"/>
      <c r="AK709" s="55"/>
    </row>
    <row r="710" customHeight="1" spans="2:37">
      <c r="B710" s="7"/>
      <c r="C710" s="1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  <c r="AH710" s="52"/>
      <c r="AI710" s="52"/>
      <c r="AJ710" s="52"/>
      <c r="AK710" s="55"/>
    </row>
    <row r="711" customHeight="1" spans="2:37">
      <c r="B711" s="7"/>
      <c r="C711" s="1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  <c r="AH711" s="52"/>
      <c r="AI711" s="52"/>
      <c r="AJ711" s="52"/>
      <c r="AK711" s="55"/>
    </row>
    <row r="712" customHeight="1" spans="2:37">
      <c r="B712" s="7"/>
      <c r="C712" s="1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  <c r="AH712" s="52"/>
      <c r="AI712" s="52"/>
      <c r="AJ712" s="52"/>
      <c r="AK712" s="55"/>
    </row>
    <row r="713" customHeight="1" spans="2:37">
      <c r="B713" s="7"/>
      <c r="C713" s="1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  <c r="AH713" s="52"/>
      <c r="AI713" s="52"/>
      <c r="AJ713" s="52"/>
      <c r="AK713" s="55"/>
    </row>
    <row r="714" customHeight="1" spans="2:37">
      <c r="B714" s="7"/>
      <c r="C714" s="1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  <c r="AH714" s="52"/>
      <c r="AI714" s="52"/>
      <c r="AJ714" s="52"/>
      <c r="AK714" s="55"/>
    </row>
    <row r="715" customHeight="1" spans="2:37">
      <c r="B715" s="7"/>
      <c r="C715" s="1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  <c r="AH715" s="52"/>
      <c r="AI715" s="52"/>
      <c r="AJ715" s="52"/>
      <c r="AK715" s="55"/>
    </row>
    <row r="716" customHeight="1" spans="2:37">
      <c r="B716" s="7"/>
      <c r="C716" s="1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  <c r="AH716" s="52"/>
      <c r="AI716" s="52"/>
      <c r="AJ716" s="52"/>
      <c r="AK716" s="55"/>
    </row>
    <row r="717" customHeight="1" spans="2:37">
      <c r="B717" s="7"/>
      <c r="C717" s="1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  <c r="AH717" s="52"/>
      <c r="AI717" s="52"/>
      <c r="AJ717" s="52"/>
      <c r="AK717" s="55"/>
    </row>
    <row r="718" customHeight="1" spans="2:37">
      <c r="B718" s="7"/>
      <c r="C718" s="1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  <c r="AH718" s="52"/>
      <c r="AI718" s="52"/>
      <c r="AJ718" s="52"/>
      <c r="AK718" s="55"/>
    </row>
    <row r="719" customHeight="1" spans="2:37">
      <c r="B719" s="7"/>
      <c r="C719" s="1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  <c r="AH719" s="52"/>
      <c r="AI719" s="52"/>
      <c r="AJ719" s="52"/>
      <c r="AK719" s="55"/>
    </row>
    <row r="720" customHeight="1" spans="2:37">
      <c r="B720" s="7"/>
      <c r="C720" s="1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  <c r="AH720" s="52"/>
      <c r="AI720" s="52"/>
      <c r="AJ720" s="52"/>
      <c r="AK720" s="55"/>
    </row>
    <row r="721" customHeight="1" spans="2:37">
      <c r="B721" s="7"/>
      <c r="C721" s="1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  <c r="AH721" s="52"/>
      <c r="AI721" s="52"/>
      <c r="AJ721" s="52"/>
      <c r="AK721" s="55"/>
    </row>
    <row r="722" customHeight="1" spans="2:37">
      <c r="B722" s="7"/>
      <c r="C722" s="1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  <c r="AH722" s="52"/>
      <c r="AI722" s="52"/>
      <c r="AJ722" s="52"/>
      <c r="AK722" s="55"/>
    </row>
    <row r="723" customHeight="1" spans="2:37">
      <c r="B723" s="7"/>
      <c r="C723" s="1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  <c r="AH723" s="52"/>
      <c r="AI723" s="52"/>
      <c r="AJ723" s="52"/>
      <c r="AK723" s="55"/>
    </row>
    <row r="724" customHeight="1" spans="2:37">
      <c r="B724" s="7"/>
      <c r="C724" s="1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  <c r="AH724" s="52"/>
      <c r="AI724" s="52"/>
      <c r="AJ724" s="52"/>
      <c r="AK724" s="55"/>
    </row>
    <row r="725" customHeight="1" spans="2:37">
      <c r="B725" s="7"/>
      <c r="C725" s="1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  <c r="AH725" s="52"/>
      <c r="AI725" s="52"/>
      <c r="AJ725" s="52"/>
      <c r="AK725" s="55"/>
    </row>
    <row r="726" customHeight="1" spans="2:37">
      <c r="B726" s="7"/>
      <c r="C726" s="1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  <c r="AH726" s="52"/>
      <c r="AI726" s="52"/>
      <c r="AJ726" s="52"/>
      <c r="AK726" s="55"/>
    </row>
    <row r="727" customHeight="1" spans="2:37">
      <c r="B727" s="7"/>
      <c r="C727" s="1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  <c r="AH727" s="52"/>
      <c r="AI727" s="52"/>
      <c r="AJ727" s="52"/>
      <c r="AK727" s="55"/>
    </row>
    <row r="728" customHeight="1" spans="2:37">
      <c r="B728" s="7"/>
      <c r="C728" s="1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  <c r="AH728" s="52"/>
      <c r="AI728" s="52"/>
      <c r="AJ728" s="52"/>
      <c r="AK728" s="55"/>
    </row>
    <row r="729" customHeight="1" spans="2:37">
      <c r="B729" s="7"/>
      <c r="C729" s="1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  <c r="AH729" s="52"/>
      <c r="AI729" s="52"/>
      <c r="AJ729" s="52"/>
      <c r="AK729" s="55"/>
    </row>
    <row r="730" customHeight="1" spans="2:37">
      <c r="B730" s="7"/>
      <c r="C730" s="1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  <c r="AH730" s="52"/>
      <c r="AI730" s="52"/>
      <c r="AJ730" s="52"/>
      <c r="AK730" s="55"/>
    </row>
    <row r="731" customHeight="1" spans="2:37">
      <c r="B731" s="7"/>
      <c r="C731" s="1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  <c r="AH731" s="52"/>
      <c r="AI731" s="52"/>
      <c r="AJ731" s="52"/>
      <c r="AK731" s="55"/>
    </row>
    <row r="732" customHeight="1" spans="2:37">
      <c r="B732" s="7"/>
      <c r="C732" s="1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  <c r="AH732" s="52"/>
      <c r="AI732" s="52"/>
      <c r="AJ732" s="52"/>
      <c r="AK732" s="55"/>
    </row>
    <row r="733" customHeight="1" spans="2:37">
      <c r="B733" s="7"/>
      <c r="C733" s="1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  <c r="AH733" s="52"/>
      <c r="AI733" s="52"/>
      <c r="AJ733" s="52"/>
      <c r="AK733" s="55"/>
    </row>
    <row r="734" customHeight="1" spans="2:37">
      <c r="B734" s="7"/>
      <c r="C734" s="1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  <c r="AH734" s="52"/>
      <c r="AI734" s="52"/>
      <c r="AJ734" s="52"/>
      <c r="AK734" s="55"/>
    </row>
    <row r="735" customHeight="1" spans="2:37">
      <c r="B735" s="7"/>
      <c r="C735" s="1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  <c r="AH735" s="52"/>
      <c r="AI735" s="52"/>
      <c r="AJ735" s="52"/>
      <c r="AK735" s="55"/>
    </row>
    <row r="736" customHeight="1" spans="2:37">
      <c r="B736" s="7"/>
      <c r="C736" s="1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  <c r="AH736" s="52"/>
      <c r="AI736" s="52"/>
      <c r="AJ736" s="52"/>
      <c r="AK736" s="55"/>
    </row>
    <row r="737" customHeight="1" spans="2:37">
      <c r="B737" s="7"/>
      <c r="C737" s="1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  <c r="AH737" s="52"/>
      <c r="AI737" s="52"/>
      <c r="AJ737" s="52"/>
      <c r="AK737" s="55"/>
    </row>
    <row r="738" customHeight="1" spans="2:37">
      <c r="B738" s="7"/>
      <c r="C738" s="1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  <c r="AH738" s="52"/>
      <c r="AI738" s="52"/>
      <c r="AJ738" s="52"/>
      <c r="AK738" s="55"/>
    </row>
    <row r="739" customHeight="1" spans="2:37">
      <c r="B739" s="7"/>
      <c r="C739" s="1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  <c r="AH739" s="52"/>
      <c r="AI739" s="52"/>
      <c r="AJ739" s="52"/>
      <c r="AK739" s="55"/>
    </row>
    <row r="740" customHeight="1" spans="2:37">
      <c r="B740" s="7"/>
      <c r="C740" s="1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  <c r="AH740" s="52"/>
      <c r="AI740" s="52"/>
      <c r="AJ740" s="52"/>
      <c r="AK740" s="55"/>
    </row>
    <row r="741" customHeight="1" spans="2:37">
      <c r="B741" s="7"/>
      <c r="C741" s="1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  <c r="AH741" s="52"/>
      <c r="AI741" s="52"/>
      <c r="AJ741" s="52"/>
      <c r="AK741" s="55"/>
    </row>
    <row r="742" customHeight="1" spans="2:37">
      <c r="B742" s="7"/>
      <c r="C742" s="1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  <c r="AH742" s="52"/>
      <c r="AI742" s="52"/>
      <c r="AJ742" s="52"/>
      <c r="AK742" s="55"/>
    </row>
    <row r="743" customHeight="1" spans="2:37">
      <c r="B743" s="7"/>
      <c r="C743" s="1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  <c r="AH743" s="52"/>
      <c r="AI743" s="52"/>
      <c r="AJ743" s="52"/>
      <c r="AK743" s="55"/>
    </row>
    <row r="744" customHeight="1" spans="2:37">
      <c r="B744" s="7"/>
      <c r="C744" s="1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  <c r="AH744" s="52"/>
      <c r="AI744" s="52"/>
      <c r="AJ744" s="52"/>
      <c r="AK744" s="55"/>
    </row>
    <row r="745" customHeight="1" spans="2:37">
      <c r="B745" s="7"/>
      <c r="C745" s="1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  <c r="AH745" s="52"/>
      <c r="AI745" s="52"/>
      <c r="AJ745" s="52"/>
      <c r="AK745" s="55"/>
    </row>
    <row r="746" customHeight="1" spans="2:37">
      <c r="B746" s="7"/>
      <c r="C746" s="1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  <c r="AH746" s="52"/>
      <c r="AI746" s="52"/>
      <c r="AJ746" s="52"/>
      <c r="AK746" s="55"/>
    </row>
    <row r="747" customHeight="1" spans="2:37">
      <c r="B747" s="7"/>
      <c r="C747" s="1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  <c r="AH747" s="52"/>
      <c r="AI747" s="52"/>
      <c r="AJ747" s="52"/>
      <c r="AK747" s="55"/>
    </row>
    <row r="748" customHeight="1" spans="2:37">
      <c r="B748" s="7"/>
      <c r="C748" s="1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  <c r="AH748" s="52"/>
      <c r="AI748" s="52"/>
      <c r="AJ748" s="52"/>
      <c r="AK748" s="55"/>
    </row>
    <row r="749" customHeight="1" spans="2:37">
      <c r="B749" s="7"/>
      <c r="C749" s="1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  <c r="AH749" s="52"/>
      <c r="AI749" s="52"/>
      <c r="AJ749" s="52"/>
      <c r="AK749" s="55"/>
    </row>
    <row r="750" customHeight="1" spans="2:37">
      <c r="B750" s="7"/>
      <c r="C750" s="1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  <c r="AH750" s="52"/>
      <c r="AI750" s="52"/>
      <c r="AJ750" s="52"/>
      <c r="AK750" s="55"/>
    </row>
    <row r="751" customHeight="1" spans="2:37">
      <c r="B751" s="7"/>
      <c r="C751" s="1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  <c r="AH751" s="52"/>
      <c r="AI751" s="52"/>
      <c r="AJ751" s="52"/>
      <c r="AK751" s="55"/>
    </row>
    <row r="752" customHeight="1" spans="2:37">
      <c r="B752" s="7"/>
      <c r="C752" s="1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  <c r="AH752" s="52"/>
      <c r="AI752" s="52"/>
      <c r="AJ752" s="52"/>
      <c r="AK752" s="55"/>
    </row>
    <row r="753" customHeight="1" spans="2:37">
      <c r="B753" s="7"/>
      <c r="C753" s="1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  <c r="AH753" s="52"/>
      <c r="AI753" s="52"/>
      <c r="AJ753" s="52"/>
      <c r="AK753" s="55"/>
    </row>
    <row r="754" customHeight="1" spans="2:37">
      <c r="B754" s="7"/>
      <c r="C754" s="1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  <c r="AH754" s="52"/>
      <c r="AI754" s="52"/>
      <c r="AJ754" s="52"/>
      <c r="AK754" s="55"/>
    </row>
    <row r="755" customHeight="1" spans="2:37">
      <c r="B755" s="7"/>
      <c r="C755" s="1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5"/>
    </row>
    <row r="756" customHeight="1" spans="2:37">
      <c r="B756" s="7"/>
      <c r="C756" s="1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  <c r="AH756" s="52"/>
      <c r="AI756" s="52"/>
      <c r="AJ756" s="52"/>
      <c r="AK756" s="55"/>
    </row>
    <row r="757" customHeight="1" spans="2:37">
      <c r="B757" s="7"/>
      <c r="C757" s="1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  <c r="AH757" s="52"/>
      <c r="AI757" s="52"/>
      <c r="AJ757" s="52"/>
      <c r="AK757" s="55"/>
    </row>
    <row r="758" customHeight="1" spans="2:37">
      <c r="B758" s="7"/>
      <c r="C758" s="1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  <c r="AH758" s="52"/>
      <c r="AI758" s="52"/>
      <c r="AJ758" s="52"/>
      <c r="AK758" s="55"/>
    </row>
    <row r="759" customHeight="1" spans="2:37">
      <c r="B759" s="7"/>
      <c r="C759" s="1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  <c r="AH759" s="52"/>
      <c r="AI759" s="52"/>
      <c r="AJ759" s="52"/>
      <c r="AK759" s="55"/>
    </row>
    <row r="760" customHeight="1" spans="2:37">
      <c r="B760" s="7"/>
      <c r="C760" s="1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  <c r="AH760" s="52"/>
      <c r="AI760" s="52"/>
      <c r="AJ760" s="52"/>
      <c r="AK760" s="55"/>
    </row>
    <row r="761" customHeight="1" spans="2:37">
      <c r="B761" s="7"/>
      <c r="C761" s="1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  <c r="AH761" s="52"/>
      <c r="AI761" s="52"/>
      <c r="AJ761" s="52"/>
      <c r="AK761" s="55"/>
    </row>
    <row r="762" customHeight="1" spans="2:37">
      <c r="B762" s="7"/>
      <c r="C762" s="1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  <c r="AH762" s="52"/>
      <c r="AI762" s="52"/>
      <c r="AJ762" s="52"/>
      <c r="AK762" s="55"/>
    </row>
    <row r="763" customHeight="1" spans="2:37">
      <c r="B763" s="7"/>
      <c r="C763" s="1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  <c r="AH763" s="52"/>
      <c r="AI763" s="52"/>
      <c r="AJ763" s="52"/>
      <c r="AK763" s="55"/>
    </row>
    <row r="764" customHeight="1" spans="2:37">
      <c r="B764" s="7"/>
      <c r="C764" s="1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  <c r="AH764" s="52"/>
      <c r="AI764" s="52"/>
      <c r="AJ764" s="52"/>
      <c r="AK764" s="55"/>
    </row>
    <row r="765" customHeight="1" spans="2:37">
      <c r="B765" s="7"/>
      <c r="C765" s="1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  <c r="AH765" s="52"/>
      <c r="AI765" s="52"/>
      <c r="AJ765" s="52"/>
      <c r="AK765" s="55"/>
    </row>
    <row r="766" customHeight="1" spans="2:37">
      <c r="B766" s="7"/>
      <c r="C766" s="1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  <c r="AH766" s="52"/>
      <c r="AI766" s="52"/>
      <c r="AJ766" s="52"/>
      <c r="AK766" s="55"/>
    </row>
    <row r="767" customHeight="1" spans="2:37">
      <c r="B767" s="7"/>
      <c r="C767" s="1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  <c r="AH767" s="52"/>
      <c r="AI767" s="52"/>
      <c r="AJ767" s="52"/>
      <c r="AK767" s="55"/>
    </row>
    <row r="768" customHeight="1" spans="2:37">
      <c r="B768" s="7"/>
      <c r="C768" s="1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  <c r="AH768" s="52"/>
      <c r="AI768" s="52"/>
      <c r="AJ768" s="52"/>
      <c r="AK768" s="55"/>
    </row>
    <row r="769" customHeight="1" spans="2:37">
      <c r="B769" s="7"/>
      <c r="C769" s="1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  <c r="AH769" s="52"/>
      <c r="AI769" s="52"/>
      <c r="AJ769" s="52"/>
      <c r="AK769" s="55"/>
    </row>
    <row r="770" customHeight="1" spans="2:37">
      <c r="B770" s="7"/>
      <c r="C770" s="1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  <c r="AH770" s="52"/>
      <c r="AI770" s="52"/>
      <c r="AJ770" s="52"/>
      <c r="AK770" s="55"/>
    </row>
    <row r="771" customHeight="1" spans="2:37">
      <c r="B771" s="7"/>
      <c r="C771" s="1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  <c r="AH771" s="52"/>
      <c r="AI771" s="52"/>
      <c r="AJ771" s="52"/>
      <c r="AK771" s="55"/>
    </row>
    <row r="772" customHeight="1" spans="2:37">
      <c r="B772" s="7"/>
      <c r="C772" s="1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  <c r="AH772" s="52"/>
      <c r="AI772" s="52"/>
      <c r="AJ772" s="52"/>
      <c r="AK772" s="55"/>
    </row>
    <row r="773" customHeight="1" spans="2:37">
      <c r="B773" s="7"/>
      <c r="C773" s="1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  <c r="AH773" s="52"/>
      <c r="AI773" s="52"/>
      <c r="AJ773" s="52"/>
      <c r="AK773" s="55"/>
    </row>
    <row r="774" customHeight="1" spans="2:37">
      <c r="B774" s="7"/>
      <c r="C774" s="1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  <c r="AH774" s="52"/>
      <c r="AI774" s="52"/>
      <c r="AJ774" s="52"/>
      <c r="AK774" s="55"/>
    </row>
    <row r="775" customHeight="1" spans="2:37">
      <c r="B775" s="7"/>
      <c r="C775" s="1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  <c r="AH775" s="52"/>
      <c r="AI775" s="52"/>
      <c r="AJ775" s="52"/>
      <c r="AK775" s="55"/>
    </row>
    <row r="776" customHeight="1" spans="2:37">
      <c r="B776" s="7"/>
      <c r="C776" s="1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  <c r="AH776" s="52"/>
      <c r="AI776" s="52"/>
      <c r="AJ776" s="52"/>
      <c r="AK776" s="55"/>
    </row>
    <row r="777" customHeight="1" spans="2:37">
      <c r="B777" s="7"/>
      <c r="C777" s="1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  <c r="AH777" s="52"/>
      <c r="AI777" s="52"/>
      <c r="AJ777" s="52"/>
      <c r="AK777" s="55"/>
    </row>
    <row r="778" customHeight="1" spans="2:37">
      <c r="B778" s="7"/>
      <c r="C778" s="1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5"/>
    </row>
    <row r="779" customHeight="1" spans="2:37">
      <c r="B779" s="7"/>
      <c r="C779" s="1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  <c r="AH779" s="52"/>
      <c r="AI779" s="52"/>
      <c r="AJ779" s="52"/>
      <c r="AK779" s="55"/>
    </row>
    <row r="780" customHeight="1" spans="2:37">
      <c r="B780" s="7"/>
      <c r="C780" s="1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  <c r="AH780" s="52"/>
      <c r="AI780" s="52"/>
      <c r="AJ780" s="52"/>
      <c r="AK780" s="55"/>
    </row>
    <row r="781" customHeight="1" spans="2:37">
      <c r="B781" s="7"/>
      <c r="C781" s="1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  <c r="AH781" s="52"/>
      <c r="AI781" s="52"/>
      <c r="AJ781" s="52"/>
      <c r="AK781" s="55"/>
    </row>
    <row r="782" customHeight="1" spans="2:37">
      <c r="B782" s="7"/>
      <c r="C782" s="1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  <c r="AH782" s="52"/>
      <c r="AI782" s="52"/>
      <c r="AJ782" s="52"/>
      <c r="AK782" s="55"/>
    </row>
    <row r="783" customHeight="1" spans="2:37">
      <c r="B783" s="7"/>
      <c r="C783" s="1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  <c r="AH783" s="52"/>
      <c r="AI783" s="52"/>
      <c r="AJ783" s="52"/>
      <c r="AK783" s="55"/>
    </row>
    <row r="784" customHeight="1" spans="2:37">
      <c r="B784" s="7"/>
      <c r="C784" s="1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  <c r="AH784" s="52"/>
      <c r="AI784" s="52"/>
      <c r="AJ784" s="52"/>
      <c r="AK784" s="55"/>
    </row>
    <row r="785" customHeight="1" spans="2:37">
      <c r="B785" s="7"/>
      <c r="C785" s="1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5"/>
    </row>
    <row r="786" customHeight="1" spans="2:37">
      <c r="B786" s="7"/>
      <c r="C786" s="1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  <c r="AH786" s="52"/>
      <c r="AI786" s="52"/>
      <c r="AJ786" s="52"/>
      <c r="AK786" s="55"/>
    </row>
    <row r="787" customHeight="1" spans="2:37">
      <c r="B787" s="7"/>
      <c r="C787" s="1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  <c r="AH787" s="52"/>
      <c r="AI787" s="52"/>
      <c r="AJ787" s="52"/>
      <c r="AK787" s="55"/>
    </row>
    <row r="788" customHeight="1" spans="2:37">
      <c r="B788" s="7"/>
      <c r="C788" s="1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  <c r="AH788" s="52"/>
      <c r="AI788" s="52"/>
      <c r="AJ788" s="52"/>
      <c r="AK788" s="55"/>
    </row>
    <row r="789" customHeight="1" spans="2:37">
      <c r="B789" s="7"/>
      <c r="C789" s="1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  <c r="AH789" s="52"/>
      <c r="AI789" s="52"/>
      <c r="AJ789" s="52"/>
      <c r="AK789" s="55"/>
    </row>
    <row r="790" customHeight="1" spans="2:37">
      <c r="B790" s="7"/>
      <c r="C790" s="1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  <c r="AH790" s="52"/>
      <c r="AI790" s="52"/>
      <c r="AJ790" s="52"/>
      <c r="AK790" s="55"/>
    </row>
    <row r="791" customHeight="1" spans="2:37">
      <c r="B791" s="7"/>
      <c r="C791" s="1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  <c r="AH791" s="52"/>
      <c r="AI791" s="52"/>
      <c r="AJ791" s="52"/>
      <c r="AK791" s="55"/>
    </row>
    <row r="792" customHeight="1" spans="2:37">
      <c r="B792" s="7"/>
      <c r="C792" s="1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  <c r="AH792" s="52"/>
      <c r="AI792" s="52"/>
      <c r="AJ792" s="52"/>
      <c r="AK792" s="55"/>
    </row>
    <row r="793" customHeight="1" spans="2:37">
      <c r="B793" s="7"/>
      <c r="C793" s="1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  <c r="AH793" s="52"/>
      <c r="AI793" s="52"/>
      <c r="AJ793" s="52"/>
      <c r="AK793" s="55"/>
    </row>
    <row r="794" customHeight="1" spans="2:37">
      <c r="B794" s="7"/>
      <c r="C794" s="1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  <c r="AH794" s="52"/>
      <c r="AI794" s="52"/>
      <c r="AJ794" s="52"/>
      <c r="AK794" s="55"/>
    </row>
    <row r="795" customHeight="1" spans="2:37">
      <c r="B795" s="7"/>
      <c r="C795" s="1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  <c r="AH795" s="52"/>
      <c r="AI795" s="52"/>
      <c r="AJ795" s="52"/>
      <c r="AK795" s="55"/>
    </row>
    <row r="796" customHeight="1" spans="2:37">
      <c r="B796" s="7"/>
      <c r="C796" s="1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  <c r="AH796" s="52"/>
      <c r="AI796" s="52"/>
      <c r="AJ796" s="52"/>
      <c r="AK796" s="55"/>
    </row>
    <row r="797" customHeight="1" spans="2:37">
      <c r="B797" s="7"/>
      <c r="C797" s="1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  <c r="AH797" s="52"/>
      <c r="AI797" s="52"/>
      <c r="AJ797" s="52"/>
      <c r="AK797" s="55"/>
    </row>
    <row r="798" customHeight="1" spans="2:37">
      <c r="B798" s="7"/>
      <c r="C798" s="1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5"/>
    </row>
    <row r="799" customHeight="1" spans="2:37">
      <c r="B799" s="7"/>
      <c r="C799" s="1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  <c r="AH799" s="52"/>
      <c r="AI799" s="52"/>
      <c r="AJ799" s="52"/>
      <c r="AK799" s="55"/>
    </row>
    <row r="800" customHeight="1" spans="2:37">
      <c r="B800" s="7"/>
      <c r="C800" s="1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5"/>
    </row>
    <row r="801" customHeight="1" spans="2:37">
      <c r="B801" s="7"/>
      <c r="C801" s="1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  <c r="AH801" s="52"/>
      <c r="AI801" s="52"/>
      <c r="AJ801" s="52"/>
      <c r="AK801" s="55"/>
    </row>
    <row r="802" customHeight="1" spans="2:37">
      <c r="B802" s="7"/>
      <c r="C802" s="1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5"/>
    </row>
    <row r="803" customHeight="1" spans="2:37">
      <c r="B803" s="7"/>
      <c r="C803" s="1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  <c r="AH803" s="52"/>
      <c r="AI803" s="52"/>
      <c r="AJ803" s="52"/>
      <c r="AK803" s="55"/>
    </row>
    <row r="804" customHeight="1" spans="2:37">
      <c r="B804" s="9"/>
      <c r="C804" s="10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8"/>
    </row>
  </sheetData>
  <mergeCells count="1013">
    <mergeCell ref="B2:C2"/>
    <mergeCell ref="D2:I2"/>
    <mergeCell ref="J2:M2"/>
    <mergeCell ref="N2:Q2"/>
    <mergeCell ref="R2:AK2"/>
    <mergeCell ref="J9:M12"/>
    <mergeCell ref="N9:Q12"/>
    <mergeCell ref="J13:M16"/>
    <mergeCell ref="N13:Q16"/>
    <mergeCell ref="J17:M20"/>
    <mergeCell ref="N17:Q20"/>
    <mergeCell ref="J21:M24"/>
    <mergeCell ref="N21:Q24"/>
    <mergeCell ref="J25:M28"/>
    <mergeCell ref="N25:Q28"/>
    <mergeCell ref="J29:M32"/>
    <mergeCell ref="N29:Q32"/>
    <mergeCell ref="J33:M36"/>
    <mergeCell ref="N33:Q36"/>
    <mergeCell ref="J37:M40"/>
    <mergeCell ref="N37:Q40"/>
    <mergeCell ref="J41:M44"/>
    <mergeCell ref="N41:Q44"/>
    <mergeCell ref="J45:M48"/>
    <mergeCell ref="N45:Q48"/>
    <mergeCell ref="J49:M52"/>
    <mergeCell ref="N49:Q52"/>
    <mergeCell ref="J53:M56"/>
    <mergeCell ref="N53:Q56"/>
    <mergeCell ref="J57:M60"/>
    <mergeCell ref="N57:Q60"/>
    <mergeCell ref="J61:M64"/>
    <mergeCell ref="N61:Q64"/>
    <mergeCell ref="J65:M68"/>
    <mergeCell ref="N65:Q68"/>
    <mergeCell ref="J69:M72"/>
    <mergeCell ref="N69:Q72"/>
    <mergeCell ref="J73:M76"/>
    <mergeCell ref="N73:Q76"/>
    <mergeCell ref="J77:M80"/>
    <mergeCell ref="N77:Q80"/>
    <mergeCell ref="J81:M84"/>
    <mergeCell ref="N81:Q84"/>
    <mergeCell ref="J85:M88"/>
    <mergeCell ref="N85:Q88"/>
    <mergeCell ref="J89:M92"/>
    <mergeCell ref="N89:Q92"/>
    <mergeCell ref="J93:M96"/>
    <mergeCell ref="N93:Q96"/>
    <mergeCell ref="J97:M100"/>
    <mergeCell ref="N97:Q100"/>
    <mergeCell ref="J101:M104"/>
    <mergeCell ref="N101:Q104"/>
    <mergeCell ref="J105:M108"/>
    <mergeCell ref="N105:Q108"/>
    <mergeCell ref="J109:M112"/>
    <mergeCell ref="N109:Q112"/>
    <mergeCell ref="J113:M116"/>
    <mergeCell ref="N113:Q116"/>
    <mergeCell ref="J117:M120"/>
    <mergeCell ref="N117:Q120"/>
    <mergeCell ref="J121:M124"/>
    <mergeCell ref="N121:Q124"/>
    <mergeCell ref="J125:M128"/>
    <mergeCell ref="N125:Q128"/>
    <mergeCell ref="J129:M132"/>
    <mergeCell ref="N129:Q132"/>
    <mergeCell ref="J133:M136"/>
    <mergeCell ref="N133:Q136"/>
    <mergeCell ref="J137:M140"/>
    <mergeCell ref="N137:Q140"/>
    <mergeCell ref="J141:M144"/>
    <mergeCell ref="N141:Q144"/>
    <mergeCell ref="J145:M148"/>
    <mergeCell ref="N145:Q148"/>
    <mergeCell ref="J149:M152"/>
    <mergeCell ref="N149:Q152"/>
    <mergeCell ref="J153:M156"/>
    <mergeCell ref="N153:Q156"/>
    <mergeCell ref="J157:M160"/>
    <mergeCell ref="N157:Q160"/>
    <mergeCell ref="J161:M164"/>
    <mergeCell ref="N161:Q164"/>
    <mergeCell ref="J165:M168"/>
    <mergeCell ref="N165:Q168"/>
    <mergeCell ref="J169:M172"/>
    <mergeCell ref="N169:Q172"/>
    <mergeCell ref="J173:M176"/>
    <mergeCell ref="N173:Q176"/>
    <mergeCell ref="J177:M180"/>
    <mergeCell ref="N177:Q180"/>
    <mergeCell ref="J181:M184"/>
    <mergeCell ref="N181:Q184"/>
    <mergeCell ref="J185:M188"/>
    <mergeCell ref="N185:Q188"/>
    <mergeCell ref="J189:M192"/>
    <mergeCell ref="N189:Q192"/>
    <mergeCell ref="J193:M196"/>
    <mergeCell ref="N193:Q196"/>
    <mergeCell ref="J197:M200"/>
    <mergeCell ref="N197:Q200"/>
    <mergeCell ref="J201:M204"/>
    <mergeCell ref="N201:Q204"/>
    <mergeCell ref="J205:M208"/>
    <mergeCell ref="N205:Q208"/>
    <mergeCell ref="J209:M212"/>
    <mergeCell ref="N209:Q212"/>
    <mergeCell ref="J213:M216"/>
    <mergeCell ref="N213:Q216"/>
    <mergeCell ref="J217:M220"/>
    <mergeCell ref="N217:Q220"/>
    <mergeCell ref="J221:M224"/>
    <mergeCell ref="N221:Q224"/>
    <mergeCell ref="J225:M228"/>
    <mergeCell ref="N225:Q228"/>
    <mergeCell ref="J229:M232"/>
    <mergeCell ref="N229:Q232"/>
    <mergeCell ref="J233:M236"/>
    <mergeCell ref="N233:Q236"/>
    <mergeCell ref="J237:M240"/>
    <mergeCell ref="N237:Q240"/>
    <mergeCell ref="J241:M244"/>
    <mergeCell ref="N241:Q244"/>
    <mergeCell ref="J245:M248"/>
    <mergeCell ref="N245:Q248"/>
    <mergeCell ref="J249:M252"/>
    <mergeCell ref="N249:Q252"/>
    <mergeCell ref="J253:M256"/>
    <mergeCell ref="N253:Q256"/>
    <mergeCell ref="J257:M260"/>
    <mergeCell ref="N257:Q260"/>
    <mergeCell ref="J261:M264"/>
    <mergeCell ref="N261:Q264"/>
    <mergeCell ref="J265:M268"/>
    <mergeCell ref="N265:Q268"/>
    <mergeCell ref="J269:M272"/>
    <mergeCell ref="N269:Q272"/>
    <mergeCell ref="J273:M276"/>
    <mergeCell ref="N273:Q276"/>
    <mergeCell ref="J277:M280"/>
    <mergeCell ref="N277:Q280"/>
    <mergeCell ref="J281:M284"/>
    <mergeCell ref="N281:Q284"/>
    <mergeCell ref="J285:M288"/>
    <mergeCell ref="N285:Q288"/>
    <mergeCell ref="J289:M292"/>
    <mergeCell ref="N289:Q292"/>
    <mergeCell ref="J293:M296"/>
    <mergeCell ref="N293:Q296"/>
    <mergeCell ref="J297:M300"/>
    <mergeCell ref="N297:Q300"/>
    <mergeCell ref="J301:M304"/>
    <mergeCell ref="N301:Q304"/>
    <mergeCell ref="J305:M308"/>
    <mergeCell ref="N305:Q308"/>
    <mergeCell ref="J309:M312"/>
    <mergeCell ref="N309:Q312"/>
    <mergeCell ref="J313:M316"/>
    <mergeCell ref="N313:Q316"/>
    <mergeCell ref="J317:M320"/>
    <mergeCell ref="N317:Q320"/>
    <mergeCell ref="J321:M324"/>
    <mergeCell ref="N321:Q324"/>
    <mergeCell ref="J325:M328"/>
    <mergeCell ref="N325:Q328"/>
    <mergeCell ref="J329:M332"/>
    <mergeCell ref="N329:Q332"/>
    <mergeCell ref="J333:M336"/>
    <mergeCell ref="N333:Q336"/>
    <mergeCell ref="J337:M340"/>
    <mergeCell ref="N337:Q340"/>
    <mergeCell ref="J341:M344"/>
    <mergeCell ref="N341:Q344"/>
    <mergeCell ref="J345:M348"/>
    <mergeCell ref="N345:Q348"/>
    <mergeCell ref="J349:M352"/>
    <mergeCell ref="N349:Q352"/>
    <mergeCell ref="J353:M356"/>
    <mergeCell ref="N353:Q356"/>
    <mergeCell ref="J357:M360"/>
    <mergeCell ref="N357:Q360"/>
    <mergeCell ref="J361:M364"/>
    <mergeCell ref="N361:Q364"/>
    <mergeCell ref="J365:M368"/>
    <mergeCell ref="N365:Q368"/>
    <mergeCell ref="J369:M372"/>
    <mergeCell ref="N369:Q372"/>
    <mergeCell ref="J373:M376"/>
    <mergeCell ref="N373:Q376"/>
    <mergeCell ref="J377:M380"/>
    <mergeCell ref="N377:Q380"/>
    <mergeCell ref="J381:M384"/>
    <mergeCell ref="N381:Q384"/>
    <mergeCell ref="J385:M388"/>
    <mergeCell ref="N385:Q388"/>
    <mergeCell ref="J389:M392"/>
    <mergeCell ref="N389:Q392"/>
    <mergeCell ref="J393:M396"/>
    <mergeCell ref="N393:Q396"/>
    <mergeCell ref="J397:M400"/>
    <mergeCell ref="N397:Q400"/>
    <mergeCell ref="J401:M404"/>
    <mergeCell ref="N401:Q404"/>
    <mergeCell ref="J405:M408"/>
    <mergeCell ref="N405:Q408"/>
    <mergeCell ref="J409:M412"/>
    <mergeCell ref="N409:Q412"/>
    <mergeCell ref="J413:M416"/>
    <mergeCell ref="N413:Q416"/>
    <mergeCell ref="J417:M420"/>
    <mergeCell ref="N417:Q420"/>
    <mergeCell ref="J421:M424"/>
    <mergeCell ref="N421:Q424"/>
    <mergeCell ref="J425:M428"/>
    <mergeCell ref="N425:Q428"/>
    <mergeCell ref="J429:M432"/>
    <mergeCell ref="N429:Q432"/>
    <mergeCell ref="J433:M436"/>
    <mergeCell ref="N433:Q436"/>
    <mergeCell ref="J437:M440"/>
    <mergeCell ref="N437:Q440"/>
    <mergeCell ref="J441:M444"/>
    <mergeCell ref="N441:Q444"/>
    <mergeCell ref="J445:M448"/>
    <mergeCell ref="N445:Q448"/>
    <mergeCell ref="J449:M452"/>
    <mergeCell ref="N449:Q452"/>
    <mergeCell ref="J453:M456"/>
    <mergeCell ref="N453:Q456"/>
    <mergeCell ref="J457:M460"/>
    <mergeCell ref="N457:Q460"/>
    <mergeCell ref="J461:M464"/>
    <mergeCell ref="N461:Q464"/>
    <mergeCell ref="J465:M468"/>
    <mergeCell ref="N465:Q468"/>
    <mergeCell ref="J469:M472"/>
    <mergeCell ref="N469:Q472"/>
    <mergeCell ref="J473:M476"/>
    <mergeCell ref="N473:Q476"/>
    <mergeCell ref="J477:M480"/>
    <mergeCell ref="N477:Q480"/>
    <mergeCell ref="J481:M484"/>
    <mergeCell ref="N481:Q484"/>
    <mergeCell ref="J485:M488"/>
    <mergeCell ref="N485:Q488"/>
    <mergeCell ref="J489:M492"/>
    <mergeCell ref="N489:Q492"/>
    <mergeCell ref="J493:M496"/>
    <mergeCell ref="N493:Q496"/>
    <mergeCell ref="J497:M500"/>
    <mergeCell ref="N497:Q500"/>
    <mergeCell ref="J501:M504"/>
    <mergeCell ref="N501:Q504"/>
    <mergeCell ref="J505:M508"/>
    <mergeCell ref="N505:Q508"/>
    <mergeCell ref="J509:M512"/>
    <mergeCell ref="N509:Q512"/>
    <mergeCell ref="J513:M516"/>
    <mergeCell ref="N513:Q516"/>
    <mergeCell ref="J517:M520"/>
    <mergeCell ref="N517:Q520"/>
    <mergeCell ref="J521:M524"/>
    <mergeCell ref="N521:Q524"/>
    <mergeCell ref="J525:M528"/>
    <mergeCell ref="N525:Q528"/>
    <mergeCell ref="J529:M532"/>
    <mergeCell ref="N529:Q532"/>
    <mergeCell ref="J533:M536"/>
    <mergeCell ref="N533:Q536"/>
    <mergeCell ref="J537:M540"/>
    <mergeCell ref="N537:Q540"/>
    <mergeCell ref="J541:M544"/>
    <mergeCell ref="N541:Q544"/>
    <mergeCell ref="J545:M548"/>
    <mergeCell ref="N545:Q548"/>
    <mergeCell ref="J549:M552"/>
    <mergeCell ref="N549:Q552"/>
    <mergeCell ref="J553:M556"/>
    <mergeCell ref="N553:Q556"/>
    <mergeCell ref="J557:M560"/>
    <mergeCell ref="N557:Q560"/>
    <mergeCell ref="J561:M564"/>
    <mergeCell ref="N561:Q564"/>
    <mergeCell ref="J565:M568"/>
    <mergeCell ref="N565:Q568"/>
    <mergeCell ref="J569:M572"/>
    <mergeCell ref="N569:Q572"/>
    <mergeCell ref="J573:M576"/>
    <mergeCell ref="N573:Q576"/>
    <mergeCell ref="J577:M580"/>
    <mergeCell ref="N577:Q580"/>
    <mergeCell ref="J581:M584"/>
    <mergeCell ref="N581:Q584"/>
    <mergeCell ref="J585:M588"/>
    <mergeCell ref="N585:Q588"/>
    <mergeCell ref="J589:M592"/>
    <mergeCell ref="N589:Q592"/>
    <mergeCell ref="J593:M596"/>
    <mergeCell ref="N593:Q596"/>
    <mergeCell ref="J597:M600"/>
    <mergeCell ref="N597:Q600"/>
    <mergeCell ref="J601:M604"/>
    <mergeCell ref="N601:Q604"/>
    <mergeCell ref="J605:M608"/>
    <mergeCell ref="N605:Q608"/>
    <mergeCell ref="J609:M612"/>
    <mergeCell ref="N609:Q612"/>
    <mergeCell ref="J613:M616"/>
    <mergeCell ref="N613:Q616"/>
    <mergeCell ref="J617:M620"/>
    <mergeCell ref="N617:Q620"/>
    <mergeCell ref="J621:M624"/>
    <mergeCell ref="N621:Q624"/>
    <mergeCell ref="J625:M628"/>
    <mergeCell ref="N625:Q628"/>
    <mergeCell ref="J629:M632"/>
    <mergeCell ref="N629:Q632"/>
    <mergeCell ref="J633:M636"/>
    <mergeCell ref="N633:Q636"/>
    <mergeCell ref="J637:M640"/>
    <mergeCell ref="N637:Q640"/>
    <mergeCell ref="J641:M644"/>
    <mergeCell ref="N641:Q644"/>
    <mergeCell ref="J645:M648"/>
    <mergeCell ref="N645:Q648"/>
    <mergeCell ref="J649:M652"/>
    <mergeCell ref="N649:Q652"/>
    <mergeCell ref="J653:M656"/>
    <mergeCell ref="N653:Q656"/>
    <mergeCell ref="J657:M660"/>
    <mergeCell ref="N657:Q660"/>
    <mergeCell ref="J661:M664"/>
    <mergeCell ref="N661:Q664"/>
    <mergeCell ref="J665:M668"/>
    <mergeCell ref="N665:Q668"/>
    <mergeCell ref="J669:M672"/>
    <mergeCell ref="N669:Q672"/>
    <mergeCell ref="J673:M676"/>
    <mergeCell ref="N673:Q676"/>
    <mergeCell ref="J677:M680"/>
    <mergeCell ref="N677:Q680"/>
    <mergeCell ref="J681:M684"/>
    <mergeCell ref="N681:Q684"/>
    <mergeCell ref="J685:M688"/>
    <mergeCell ref="N685:Q688"/>
    <mergeCell ref="J689:M692"/>
    <mergeCell ref="N689:Q692"/>
    <mergeCell ref="J693:M696"/>
    <mergeCell ref="N693:Q696"/>
    <mergeCell ref="J697:M700"/>
    <mergeCell ref="N697:Q700"/>
    <mergeCell ref="J701:M704"/>
    <mergeCell ref="N701:Q704"/>
    <mergeCell ref="J705:M708"/>
    <mergeCell ref="N705:Q708"/>
    <mergeCell ref="J709:M712"/>
    <mergeCell ref="N709:Q712"/>
    <mergeCell ref="J713:M716"/>
    <mergeCell ref="N713:Q716"/>
    <mergeCell ref="J717:M720"/>
    <mergeCell ref="N717:Q720"/>
    <mergeCell ref="J721:M724"/>
    <mergeCell ref="N721:Q724"/>
    <mergeCell ref="J725:M728"/>
    <mergeCell ref="N725:Q728"/>
    <mergeCell ref="J729:M732"/>
    <mergeCell ref="N729:Q732"/>
    <mergeCell ref="J733:M736"/>
    <mergeCell ref="N733:Q736"/>
    <mergeCell ref="J737:M740"/>
    <mergeCell ref="N737:Q740"/>
    <mergeCell ref="J741:M744"/>
    <mergeCell ref="N741:Q744"/>
    <mergeCell ref="J745:M748"/>
    <mergeCell ref="N745:Q748"/>
    <mergeCell ref="J749:M752"/>
    <mergeCell ref="N749:Q752"/>
    <mergeCell ref="J753:M756"/>
    <mergeCell ref="N753:Q756"/>
    <mergeCell ref="J757:M760"/>
    <mergeCell ref="N757:Q760"/>
    <mergeCell ref="J761:M764"/>
    <mergeCell ref="N761:Q764"/>
    <mergeCell ref="J765:M768"/>
    <mergeCell ref="N765:Q768"/>
    <mergeCell ref="J769:M772"/>
    <mergeCell ref="N769:Q772"/>
    <mergeCell ref="J773:M776"/>
    <mergeCell ref="N773:Q776"/>
    <mergeCell ref="J777:M780"/>
    <mergeCell ref="N777:Q780"/>
    <mergeCell ref="J781:M784"/>
    <mergeCell ref="N781:Q784"/>
    <mergeCell ref="J785:M788"/>
    <mergeCell ref="N785:Q788"/>
    <mergeCell ref="J789:M792"/>
    <mergeCell ref="N789:Q792"/>
    <mergeCell ref="J793:M796"/>
    <mergeCell ref="N793:Q796"/>
    <mergeCell ref="J797:M800"/>
    <mergeCell ref="N797:Q800"/>
    <mergeCell ref="B9:C12"/>
    <mergeCell ref="B13:C16"/>
    <mergeCell ref="B17:C20"/>
    <mergeCell ref="B21:C24"/>
    <mergeCell ref="B25:C28"/>
    <mergeCell ref="B29:C32"/>
    <mergeCell ref="B33:C36"/>
    <mergeCell ref="B37:C40"/>
    <mergeCell ref="B41:C44"/>
    <mergeCell ref="B45:C48"/>
    <mergeCell ref="B49:C52"/>
    <mergeCell ref="B53:C56"/>
    <mergeCell ref="B57:C60"/>
    <mergeCell ref="B61:C64"/>
    <mergeCell ref="B65:C68"/>
    <mergeCell ref="B69:C72"/>
    <mergeCell ref="B73:C76"/>
    <mergeCell ref="B77:C80"/>
    <mergeCell ref="B81:C84"/>
    <mergeCell ref="B85:C88"/>
    <mergeCell ref="B89:C92"/>
    <mergeCell ref="B93:C96"/>
    <mergeCell ref="B97:C100"/>
    <mergeCell ref="B101:C104"/>
    <mergeCell ref="B105:C108"/>
    <mergeCell ref="B109:C112"/>
    <mergeCell ref="B113:C116"/>
    <mergeCell ref="B117:C120"/>
    <mergeCell ref="B121:C124"/>
    <mergeCell ref="B125:C128"/>
    <mergeCell ref="B129:C132"/>
    <mergeCell ref="B133:C136"/>
    <mergeCell ref="B137:C140"/>
    <mergeCell ref="B141:C144"/>
    <mergeCell ref="B145:C148"/>
    <mergeCell ref="B149:C152"/>
    <mergeCell ref="B153:C156"/>
    <mergeCell ref="B157:C160"/>
    <mergeCell ref="B161:C164"/>
    <mergeCell ref="B165:C168"/>
    <mergeCell ref="B169:C172"/>
    <mergeCell ref="B173:C176"/>
    <mergeCell ref="B177:C180"/>
    <mergeCell ref="B181:C184"/>
    <mergeCell ref="B185:C188"/>
    <mergeCell ref="B189:C192"/>
    <mergeCell ref="B193:C196"/>
    <mergeCell ref="B197:C200"/>
    <mergeCell ref="B201:C204"/>
    <mergeCell ref="B205:C208"/>
    <mergeCell ref="B209:C212"/>
    <mergeCell ref="B213:C216"/>
    <mergeCell ref="B217:C220"/>
    <mergeCell ref="B221:C224"/>
    <mergeCell ref="B225:C228"/>
    <mergeCell ref="B229:C232"/>
    <mergeCell ref="B233:C236"/>
    <mergeCell ref="B237:C240"/>
    <mergeCell ref="B241:C244"/>
    <mergeCell ref="B245:C248"/>
    <mergeCell ref="B249:C252"/>
    <mergeCell ref="B253:C256"/>
    <mergeCell ref="B257:C260"/>
    <mergeCell ref="B261:C264"/>
    <mergeCell ref="B265:C268"/>
    <mergeCell ref="B269:C272"/>
    <mergeCell ref="B273:C276"/>
    <mergeCell ref="B277:C280"/>
    <mergeCell ref="B281:C284"/>
    <mergeCell ref="B285:C288"/>
    <mergeCell ref="B289:C292"/>
    <mergeCell ref="B293:C296"/>
    <mergeCell ref="B297:C300"/>
    <mergeCell ref="B301:C304"/>
    <mergeCell ref="B305:C308"/>
    <mergeCell ref="B309:C312"/>
    <mergeCell ref="B313:C316"/>
    <mergeCell ref="B317:C320"/>
    <mergeCell ref="B321:C324"/>
    <mergeCell ref="B325:C328"/>
    <mergeCell ref="B329:C332"/>
    <mergeCell ref="B333:C336"/>
    <mergeCell ref="B337:C340"/>
    <mergeCell ref="B341:C344"/>
    <mergeCell ref="B345:C348"/>
    <mergeCell ref="B349:C352"/>
    <mergeCell ref="B353:C356"/>
    <mergeCell ref="B357:C360"/>
    <mergeCell ref="B361:C364"/>
    <mergeCell ref="B365:C368"/>
    <mergeCell ref="B369:C372"/>
    <mergeCell ref="B373:C376"/>
    <mergeCell ref="B377:C380"/>
    <mergeCell ref="B381:C384"/>
    <mergeCell ref="B385:C388"/>
    <mergeCell ref="B389:C392"/>
    <mergeCell ref="B393:C396"/>
    <mergeCell ref="B397:C400"/>
    <mergeCell ref="B401:C404"/>
    <mergeCell ref="B405:C408"/>
    <mergeCell ref="B409:C412"/>
    <mergeCell ref="B413:C416"/>
    <mergeCell ref="B417:C420"/>
    <mergeCell ref="B421:C424"/>
    <mergeCell ref="B425:C428"/>
    <mergeCell ref="B429:C432"/>
    <mergeCell ref="B433:C436"/>
    <mergeCell ref="B437:C440"/>
    <mergeCell ref="B441:C444"/>
    <mergeCell ref="B445:C448"/>
    <mergeCell ref="B449:C452"/>
    <mergeCell ref="B453:C456"/>
    <mergeCell ref="B457:C460"/>
    <mergeCell ref="B461:C464"/>
    <mergeCell ref="B465:C468"/>
    <mergeCell ref="B469:C472"/>
    <mergeCell ref="B473:C476"/>
    <mergeCell ref="B477:C480"/>
    <mergeCell ref="B481:C484"/>
    <mergeCell ref="B485:C488"/>
    <mergeCell ref="B489:C492"/>
    <mergeCell ref="B493:C496"/>
    <mergeCell ref="B497:C500"/>
    <mergeCell ref="B501:C504"/>
    <mergeCell ref="B505:C508"/>
    <mergeCell ref="B509:C512"/>
    <mergeCell ref="B513:C516"/>
    <mergeCell ref="B517:C520"/>
    <mergeCell ref="B521:C524"/>
    <mergeCell ref="B525:C528"/>
    <mergeCell ref="B529:C532"/>
    <mergeCell ref="B533:C536"/>
    <mergeCell ref="B537:C540"/>
    <mergeCell ref="B541:C544"/>
    <mergeCell ref="B545:C548"/>
    <mergeCell ref="B549:C552"/>
    <mergeCell ref="B553:C556"/>
    <mergeCell ref="B557:C560"/>
    <mergeCell ref="B561:C564"/>
    <mergeCell ref="B565:C568"/>
    <mergeCell ref="B569:C572"/>
    <mergeCell ref="B573:C576"/>
    <mergeCell ref="B577:C580"/>
    <mergeCell ref="B581:C584"/>
    <mergeCell ref="B585:C588"/>
    <mergeCell ref="B589:C592"/>
    <mergeCell ref="B593:C596"/>
    <mergeCell ref="B597:C600"/>
    <mergeCell ref="B601:C604"/>
    <mergeCell ref="B605:C608"/>
    <mergeCell ref="B609:C612"/>
    <mergeCell ref="B613:C616"/>
    <mergeCell ref="B617:C620"/>
    <mergeCell ref="B621:C624"/>
    <mergeCell ref="B625:C628"/>
    <mergeCell ref="B629:C632"/>
    <mergeCell ref="B633:C636"/>
    <mergeCell ref="B637:C640"/>
    <mergeCell ref="B641:C644"/>
    <mergeCell ref="B645:C648"/>
    <mergeCell ref="B649:C652"/>
    <mergeCell ref="B653:C656"/>
    <mergeCell ref="B657:C660"/>
    <mergeCell ref="B661:C664"/>
    <mergeCell ref="B665:C668"/>
    <mergeCell ref="B669:C672"/>
    <mergeCell ref="B673:C676"/>
    <mergeCell ref="B677:C680"/>
    <mergeCell ref="B681:C684"/>
    <mergeCell ref="B685:C688"/>
    <mergeCell ref="B689:C692"/>
    <mergeCell ref="B693:C696"/>
    <mergeCell ref="B697:C700"/>
    <mergeCell ref="B701:C704"/>
    <mergeCell ref="B705:C708"/>
    <mergeCell ref="B709:C712"/>
    <mergeCell ref="B713:C716"/>
    <mergeCell ref="B717:C720"/>
    <mergeCell ref="B721:C724"/>
    <mergeCell ref="B725:C728"/>
    <mergeCell ref="B729:C732"/>
    <mergeCell ref="B733:C736"/>
    <mergeCell ref="B737:C740"/>
    <mergeCell ref="B741:C744"/>
    <mergeCell ref="B745:C748"/>
    <mergeCell ref="B749:C752"/>
    <mergeCell ref="B753:C756"/>
    <mergeCell ref="B757:C760"/>
    <mergeCell ref="B761:C764"/>
    <mergeCell ref="B765:C768"/>
    <mergeCell ref="B769:C772"/>
    <mergeCell ref="B773:C776"/>
    <mergeCell ref="B777:C780"/>
    <mergeCell ref="B781:C784"/>
    <mergeCell ref="B785:C788"/>
    <mergeCell ref="B789:C792"/>
    <mergeCell ref="B793:C796"/>
    <mergeCell ref="B797:C800"/>
    <mergeCell ref="D9:I12"/>
    <mergeCell ref="D13:I16"/>
    <mergeCell ref="D17:I20"/>
    <mergeCell ref="D21:I24"/>
    <mergeCell ref="D25:I28"/>
    <mergeCell ref="D29:I32"/>
    <mergeCell ref="D33:I36"/>
    <mergeCell ref="D37:I40"/>
    <mergeCell ref="D41:I44"/>
    <mergeCell ref="D45:I48"/>
    <mergeCell ref="D49:I52"/>
    <mergeCell ref="D53:I56"/>
    <mergeCell ref="D57:I60"/>
    <mergeCell ref="D61:I64"/>
    <mergeCell ref="D65:I68"/>
    <mergeCell ref="D69:I72"/>
    <mergeCell ref="D73:I76"/>
    <mergeCell ref="D77:I80"/>
    <mergeCell ref="D81:I84"/>
    <mergeCell ref="D85:I88"/>
    <mergeCell ref="D89:I92"/>
    <mergeCell ref="D93:I96"/>
    <mergeCell ref="D97:I100"/>
    <mergeCell ref="D101:I104"/>
    <mergeCell ref="D105:I108"/>
    <mergeCell ref="D109:I112"/>
    <mergeCell ref="D113:I116"/>
    <mergeCell ref="D117:I120"/>
    <mergeCell ref="D121:I124"/>
    <mergeCell ref="D125:I128"/>
    <mergeCell ref="D129:I132"/>
    <mergeCell ref="D133:I136"/>
    <mergeCell ref="D137:I140"/>
    <mergeCell ref="D141:I144"/>
    <mergeCell ref="D145:I148"/>
    <mergeCell ref="D149:I152"/>
    <mergeCell ref="D153:I156"/>
    <mergeCell ref="D157:I160"/>
    <mergeCell ref="D161:I164"/>
    <mergeCell ref="D165:I168"/>
    <mergeCell ref="D169:I172"/>
    <mergeCell ref="D173:I176"/>
    <mergeCell ref="D177:I180"/>
    <mergeCell ref="D181:I184"/>
    <mergeCell ref="D185:I188"/>
    <mergeCell ref="D189:I192"/>
    <mergeCell ref="D193:I196"/>
    <mergeCell ref="D197:I200"/>
    <mergeCell ref="D201:I204"/>
    <mergeCell ref="D205:I208"/>
    <mergeCell ref="D209:I212"/>
    <mergeCell ref="D213:I216"/>
    <mergeCell ref="D217:I220"/>
    <mergeCell ref="D221:I224"/>
    <mergeCell ref="D225:I228"/>
    <mergeCell ref="D229:I232"/>
    <mergeCell ref="D233:I236"/>
    <mergeCell ref="D237:I240"/>
    <mergeCell ref="D241:I244"/>
    <mergeCell ref="D245:I248"/>
    <mergeCell ref="D249:I252"/>
    <mergeCell ref="D253:I256"/>
    <mergeCell ref="D257:I260"/>
    <mergeCell ref="D261:I264"/>
    <mergeCell ref="D265:I268"/>
    <mergeCell ref="D269:I272"/>
    <mergeCell ref="D273:I276"/>
    <mergeCell ref="D277:I280"/>
    <mergeCell ref="D281:I284"/>
    <mergeCell ref="D285:I288"/>
    <mergeCell ref="D289:I292"/>
    <mergeCell ref="D293:I296"/>
    <mergeCell ref="D297:I300"/>
    <mergeCell ref="D301:I304"/>
    <mergeCell ref="D305:I308"/>
    <mergeCell ref="D309:I312"/>
    <mergeCell ref="D313:I316"/>
    <mergeCell ref="D317:I320"/>
    <mergeCell ref="D321:I324"/>
    <mergeCell ref="D325:I328"/>
    <mergeCell ref="D329:I332"/>
    <mergeCell ref="D333:I336"/>
    <mergeCell ref="D337:I340"/>
    <mergeCell ref="D341:I344"/>
    <mergeCell ref="D345:I348"/>
    <mergeCell ref="D349:I352"/>
    <mergeCell ref="D353:I356"/>
    <mergeCell ref="D357:I360"/>
    <mergeCell ref="D361:I364"/>
    <mergeCell ref="D365:I368"/>
    <mergeCell ref="D369:I372"/>
    <mergeCell ref="D373:I376"/>
    <mergeCell ref="D377:I380"/>
    <mergeCell ref="D381:I384"/>
    <mergeCell ref="D385:I388"/>
    <mergeCell ref="D389:I392"/>
    <mergeCell ref="D393:I396"/>
    <mergeCell ref="D397:I400"/>
    <mergeCell ref="D401:I404"/>
    <mergeCell ref="D405:I408"/>
    <mergeCell ref="D409:I412"/>
    <mergeCell ref="D413:I416"/>
    <mergeCell ref="D417:I420"/>
    <mergeCell ref="D421:I424"/>
    <mergeCell ref="D425:I428"/>
    <mergeCell ref="D429:I432"/>
    <mergeCell ref="D433:I436"/>
    <mergeCell ref="D437:I440"/>
    <mergeCell ref="D441:I444"/>
    <mergeCell ref="D445:I448"/>
    <mergeCell ref="D449:I452"/>
    <mergeCell ref="D453:I456"/>
    <mergeCell ref="D457:I460"/>
    <mergeCell ref="D461:I464"/>
    <mergeCell ref="D465:I468"/>
    <mergeCell ref="D469:I472"/>
    <mergeCell ref="D473:I476"/>
    <mergeCell ref="D477:I480"/>
    <mergeCell ref="D481:I484"/>
    <mergeCell ref="D485:I488"/>
    <mergeCell ref="D489:I492"/>
    <mergeCell ref="D493:I496"/>
    <mergeCell ref="D497:I500"/>
    <mergeCell ref="D501:I504"/>
    <mergeCell ref="D505:I508"/>
    <mergeCell ref="D509:I512"/>
    <mergeCell ref="D513:I516"/>
    <mergeCell ref="D517:I520"/>
    <mergeCell ref="D521:I524"/>
    <mergeCell ref="D525:I528"/>
    <mergeCell ref="D529:I532"/>
    <mergeCell ref="D533:I536"/>
    <mergeCell ref="D537:I540"/>
    <mergeCell ref="D541:I544"/>
    <mergeCell ref="D545:I548"/>
    <mergeCell ref="D549:I552"/>
    <mergeCell ref="D553:I556"/>
    <mergeCell ref="D557:I560"/>
    <mergeCell ref="D561:I564"/>
    <mergeCell ref="D565:I568"/>
    <mergeCell ref="D569:I572"/>
    <mergeCell ref="D573:I576"/>
    <mergeCell ref="D577:I580"/>
    <mergeCell ref="D581:I584"/>
    <mergeCell ref="D585:I588"/>
    <mergeCell ref="D589:I592"/>
    <mergeCell ref="D593:I596"/>
    <mergeCell ref="D597:I600"/>
    <mergeCell ref="D601:I604"/>
    <mergeCell ref="D605:I608"/>
    <mergeCell ref="D609:I612"/>
    <mergeCell ref="D613:I616"/>
    <mergeCell ref="D617:I620"/>
    <mergeCell ref="D621:I624"/>
    <mergeCell ref="D625:I628"/>
    <mergeCell ref="D629:I632"/>
    <mergeCell ref="D633:I636"/>
    <mergeCell ref="D637:I640"/>
    <mergeCell ref="D641:I644"/>
    <mergeCell ref="D645:I648"/>
    <mergeCell ref="D649:I652"/>
    <mergeCell ref="D653:I656"/>
    <mergeCell ref="D657:I660"/>
    <mergeCell ref="D661:I664"/>
    <mergeCell ref="D665:I668"/>
    <mergeCell ref="D669:I672"/>
    <mergeCell ref="D673:I676"/>
    <mergeCell ref="D677:I680"/>
    <mergeCell ref="D681:I684"/>
    <mergeCell ref="D685:I688"/>
    <mergeCell ref="D689:I692"/>
    <mergeCell ref="D693:I696"/>
    <mergeCell ref="D697:I700"/>
    <mergeCell ref="D701:I704"/>
    <mergeCell ref="D705:I708"/>
    <mergeCell ref="D709:I712"/>
    <mergeCell ref="D713:I716"/>
    <mergeCell ref="D717:I720"/>
    <mergeCell ref="D721:I724"/>
    <mergeCell ref="D725:I728"/>
    <mergeCell ref="D729:I732"/>
    <mergeCell ref="D733:I736"/>
    <mergeCell ref="D737:I740"/>
    <mergeCell ref="D741:I744"/>
    <mergeCell ref="D745:I748"/>
    <mergeCell ref="D749:I752"/>
    <mergeCell ref="D753:I756"/>
    <mergeCell ref="D757:I760"/>
    <mergeCell ref="D761:I764"/>
    <mergeCell ref="D765:I768"/>
    <mergeCell ref="D769:I772"/>
    <mergeCell ref="D773:I776"/>
    <mergeCell ref="D777:I780"/>
    <mergeCell ref="D781:I784"/>
    <mergeCell ref="D785:I788"/>
    <mergeCell ref="D789:I792"/>
    <mergeCell ref="D793:I796"/>
    <mergeCell ref="D797:I800"/>
    <mergeCell ref="R9:AK12"/>
    <mergeCell ref="R13:AK16"/>
    <mergeCell ref="R17:AK20"/>
    <mergeCell ref="R21:AK24"/>
    <mergeCell ref="R25:AK28"/>
    <mergeCell ref="R29:AK32"/>
    <mergeCell ref="R33:AK36"/>
    <mergeCell ref="R37:AK40"/>
    <mergeCell ref="R41:AK44"/>
    <mergeCell ref="R45:AK48"/>
    <mergeCell ref="R49:AK52"/>
    <mergeCell ref="R53:AK56"/>
    <mergeCell ref="R57:AK60"/>
    <mergeCell ref="R61:AK64"/>
    <mergeCell ref="R65:AK68"/>
    <mergeCell ref="R69:AK72"/>
    <mergeCell ref="R73:AK76"/>
    <mergeCell ref="R77:AK80"/>
    <mergeCell ref="R81:AK84"/>
    <mergeCell ref="R85:AK88"/>
    <mergeCell ref="R89:AK92"/>
    <mergeCell ref="R93:AK96"/>
    <mergeCell ref="R97:AK100"/>
    <mergeCell ref="R101:AK104"/>
    <mergeCell ref="R105:AK108"/>
    <mergeCell ref="R109:AK112"/>
    <mergeCell ref="R113:AK116"/>
    <mergeCell ref="R117:AK120"/>
    <mergeCell ref="R121:AK124"/>
    <mergeCell ref="R125:AK128"/>
    <mergeCell ref="R129:AK132"/>
    <mergeCell ref="R133:AK136"/>
    <mergeCell ref="R137:AK140"/>
    <mergeCell ref="R141:AK144"/>
    <mergeCell ref="R145:AK148"/>
    <mergeCell ref="R149:AK152"/>
    <mergeCell ref="R153:AK156"/>
    <mergeCell ref="R157:AK160"/>
    <mergeCell ref="R161:AK164"/>
    <mergeCell ref="R165:AK168"/>
    <mergeCell ref="R169:AK172"/>
    <mergeCell ref="R173:AK176"/>
    <mergeCell ref="R177:AK180"/>
    <mergeCell ref="R181:AK184"/>
    <mergeCell ref="R185:AK188"/>
    <mergeCell ref="R189:AK192"/>
    <mergeCell ref="R193:AK196"/>
    <mergeCell ref="R197:AK200"/>
    <mergeCell ref="R201:AK204"/>
    <mergeCell ref="R205:AK208"/>
    <mergeCell ref="R209:AK212"/>
    <mergeCell ref="R213:AK216"/>
    <mergeCell ref="R217:AK220"/>
    <mergeCell ref="R221:AK224"/>
    <mergeCell ref="R225:AK228"/>
    <mergeCell ref="R229:AK232"/>
    <mergeCell ref="R233:AK236"/>
    <mergeCell ref="R237:AK240"/>
    <mergeCell ref="R241:AK244"/>
    <mergeCell ref="R245:AK248"/>
    <mergeCell ref="R249:AK252"/>
    <mergeCell ref="R253:AK256"/>
    <mergeCell ref="R257:AK260"/>
    <mergeCell ref="R261:AK264"/>
    <mergeCell ref="R265:AK268"/>
    <mergeCell ref="R269:AK272"/>
    <mergeCell ref="R273:AK276"/>
    <mergeCell ref="R277:AK280"/>
    <mergeCell ref="R281:AK284"/>
    <mergeCell ref="R285:AK288"/>
    <mergeCell ref="R289:AK292"/>
    <mergeCell ref="R293:AK296"/>
    <mergeCell ref="R297:AK300"/>
    <mergeCell ref="R301:AK304"/>
    <mergeCell ref="R305:AK308"/>
    <mergeCell ref="R309:AK312"/>
    <mergeCell ref="R313:AK316"/>
    <mergeCell ref="R317:AK320"/>
    <mergeCell ref="R321:AK324"/>
    <mergeCell ref="R325:AK328"/>
    <mergeCell ref="R329:AK332"/>
    <mergeCell ref="R333:AK336"/>
    <mergeCell ref="R337:AK340"/>
    <mergeCell ref="R341:AK344"/>
    <mergeCell ref="R345:AK348"/>
    <mergeCell ref="R349:AK352"/>
    <mergeCell ref="R353:AK356"/>
    <mergeCell ref="R357:AK360"/>
    <mergeCell ref="R361:AK364"/>
    <mergeCell ref="R365:AK368"/>
    <mergeCell ref="R369:AK372"/>
    <mergeCell ref="R373:AK376"/>
    <mergeCell ref="R377:AK380"/>
    <mergeCell ref="R381:AK384"/>
    <mergeCell ref="R385:AK388"/>
    <mergeCell ref="R389:AK392"/>
    <mergeCell ref="R393:AK396"/>
    <mergeCell ref="R397:AK400"/>
    <mergeCell ref="R401:AK404"/>
    <mergeCell ref="R405:AK408"/>
    <mergeCell ref="R409:AK412"/>
    <mergeCell ref="R413:AK416"/>
    <mergeCell ref="R417:AK420"/>
    <mergeCell ref="R421:AK424"/>
    <mergeCell ref="R425:AK428"/>
    <mergeCell ref="R429:AK432"/>
    <mergeCell ref="R433:AK436"/>
    <mergeCell ref="R437:AK440"/>
    <mergeCell ref="R441:AK444"/>
    <mergeCell ref="R445:AK448"/>
    <mergeCell ref="R449:AK452"/>
    <mergeCell ref="R453:AK456"/>
    <mergeCell ref="R457:AK460"/>
    <mergeCell ref="R461:AK464"/>
    <mergeCell ref="R465:AK468"/>
    <mergeCell ref="R469:AK472"/>
    <mergeCell ref="R473:AK476"/>
    <mergeCell ref="R477:AK480"/>
    <mergeCell ref="R481:AK484"/>
    <mergeCell ref="R485:AK488"/>
    <mergeCell ref="R489:AK492"/>
    <mergeCell ref="R493:AK496"/>
    <mergeCell ref="R497:AK500"/>
    <mergeCell ref="R501:AK504"/>
    <mergeCell ref="R505:AK508"/>
    <mergeCell ref="R509:AK512"/>
    <mergeCell ref="R513:AK516"/>
    <mergeCell ref="R517:AK520"/>
    <mergeCell ref="R521:AK524"/>
    <mergeCell ref="R525:AK528"/>
    <mergeCell ref="R529:AK532"/>
    <mergeCell ref="R533:AK536"/>
    <mergeCell ref="R537:AK540"/>
    <mergeCell ref="R541:AK544"/>
    <mergeCell ref="R545:AK548"/>
    <mergeCell ref="R549:AK552"/>
    <mergeCell ref="R553:AK556"/>
    <mergeCell ref="R557:AK560"/>
    <mergeCell ref="R561:AK564"/>
    <mergeCell ref="R565:AK568"/>
    <mergeCell ref="R569:AK572"/>
    <mergeCell ref="R573:AK576"/>
    <mergeCell ref="R577:AK580"/>
    <mergeCell ref="R581:AK584"/>
    <mergeCell ref="R585:AK588"/>
    <mergeCell ref="R589:AK592"/>
    <mergeCell ref="R593:AK596"/>
    <mergeCell ref="R597:AK600"/>
    <mergeCell ref="R601:AK604"/>
    <mergeCell ref="R605:AK608"/>
    <mergeCell ref="R609:AK612"/>
    <mergeCell ref="R613:AK616"/>
    <mergeCell ref="R617:AK620"/>
    <mergeCell ref="R621:AK624"/>
    <mergeCell ref="R625:AK628"/>
    <mergeCell ref="R629:AK632"/>
    <mergeCell ref="R633:AK636"/>
    <mergeCell ref="R637:AK640"/>
    <mergeCell ref="R641:AK644"/>
    <mergeCell ref="R645:AK648"/>
    <mergeCell ref="R649:AK652"/>
    <mergeCell ref="R653:AK656"/>
    <mergeCell ref="R657:AK660"/>
    <mergeCell ref="R661:AK664"/>
    <mergeCell ref="R665:AK668"/>
    <mergeCell ref="R669:AK672"/>
    <mergeCell ref="R673:AK676"/>
    <mergeCell ref="R677:AK680"/>
    <mergeCell ref="R681:AK684"/>
    <mergeCell ref="R685:AK688"/>
    <mergeCell ref="R689:AK692"/>
    <mergeCell ref="R693:AK696"/>
    <mergeCell ref="R697:AK700"/>
    <mergeCell ref="R701:AK704"/>
    <mergeCell ref="R705:AK708"/>
    <mergeCell ref="R709:AK712"/>
    <mergeCell ref="R713:AK716"/>
    <mergeCell ref="R717:AK720"/>
    <mergeCell ref="R721:AK724"/>
    <mergeCell ref="R725:AK728"/>
    <mergeCell ref="R729:AK732"/>
    <mergeCell ref="R733:AK736"/>
    <mergeCell ref="R737:AK740"/>
    <mergeCell ref="R741:AK744"/>
    <mergeCell ref="R745:AK748"/>
    <mergeCell ref="R749:AK752"/>
    <mergeCell ref="R753:AK756"/>
    <mergeCell ref="R757:AK760"/>
    <mergeCell ref="R761:AK764"/>
    <mergeCell ref="R765:AK768"/>
    <mergeCell ref="R769:AK772"/>
    <mergeCell ref="R773:AK776"/>
    <mergeCell ref="R777:AK780"/>
    <mergeCell ref="R781:AK784"/>
    <mergeCell ref="R785:AK788"/>
    <mergeCell ref="R789:AK792"/>
    <mergeCell ref="R793:AK796"/>
    <mergeCell ref="R797:AK800"/>
    <mergeCell ref="B7:C8"/>
    <mergeCell ref="D7:I8"/>
    <mergeCell ref="J7:M8"/>
    <mergeCell ref="N7:Q8"/>
    <mergeCell ref="J801:M804"/>
    <mergeCell ref="N801:Q804"/>
    <mergeCell ref="B801:C804"/>
    <mergeCell ref="D801:I804"/>
    <mergeCell ref="R801:AK804"/>
    <mergeCell ref="B3:C4"/>
    <mergeCell ref="D3:I4"/>
    <mergeCell ref="J3:M4"/>
    <mergeCell ref="N3:Q4"/>
    <mergeCell ref="R3:AK8"/>
    <mergeCell ref="B5:C6"/>
    <mergeCell ref="D5:I6"/>
    <mergeCell ref="J5:M6"/>
    <mergeCell ref="N5:Q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402"/>
  <sheetViews>
    <sheetView workbookViewId="0">
      <selection activeCell="AD28" sqref="AD28"/>
    </sheetView>
  </sheetViews>
  <sheetFormatPr defaultColWidth="4.775" defaultRowHeight="16" customHeight="1"/>
  <cols>
    <col min="1" max="16384" width="4.775" style="19" customWidth="1"/>
  </cols>
  <sheetData>
    <row r="2" customHeight="1" spans="2:27">
      <c r="B2" s="45" t="s">
        <v>327</v>
      </c>
      <c r="C2" s="46"/>
      <c r="D2" s="46"/>
      <c r="E2" s="47"/>
      <c r="F2" s="46" t="s">
        <v>319</v>
      </c>
      <c r="G2" s="46"/>
      <c r="H2" s="46"/>
      <c r="I2" s="46"/>
      <c r="J2" s="46"/>
      <c r="K2" s="47"/>
      <c r="L2" s="46" t="s">
        <v>320</v>
      </c>
      <c r="M2" s="46"/>
      <c r="N2" s="46"/>
      <c r="O2" s="47"/>
      <c r="P2" s="46" t="s">
        <v>328</v>
      </c>
      <c r="Q2" s="46"/>
      <c r="R2" s="46"/>
      <c r="S2" s="47"/>
      <c r="T2" s="53" t="s">
        <v>329</v>
      </c>
      <c r="U2" s="53"/>
      <c r="V2" s="53"/>
      <c r="W2" s="53"/>
      <c r="X2" s="53"/>
      <c r="Y2" s="53"/>
      <c r="Z2" s="53"/>
      <c r="AA2" s="54"/>
    </row>
    <row r="3" customHeight="1" spans="2:27">
      <c r="B3" s="48" t="s">
        <v>330</v>
      </c>
      <c r="C3" s="49"/>
      <c r="D3" s="49"/>
      <c r="E3" s="49"/>
      <c r="F3" s="50">
        <f>SUM(F7:K402)</f>
        <v>0</v>
      </c>
      <c r="G3" s="50"/>
      <c r="H3" s="50"/>
      <c r="I3" s="50"/>
      <c r="J3" s="50"/>
      <c r="K3" s="50"/>
      <c r="L3" s="50">
        <f>SUM(L7:O402)</f>
        <v>0</v>
      </c>
      <c r="M3" s="50"/>
      <c r="N3" s="50"/>
      <c r="O3" s="50"/>
      <c r="P3" s="50">
        <f>SUM(P7:S402)+天赋、缺陷和怪癖!D19</f>
        <v>6</v>
      </c>
      <c r="Q3" s="50"/>
      <c r="R3" s="50"/>
      <c r="S3" s="50"/>
      <c r="T3" s="12"/>
      <c r="U3" s="12"/>
      <c r="V3" s="12"/>
      <c r="W3" s="12"/>
      <c r="X3" s="12"/>
      <c r="Y3" s="12"/>
      <c r="Z3" s="12"/>
      <c r="AA3" s="17"/>
    </row>
    <row r="4" customHeight="1" spans="2:27">
      <c r="B4" s="48"/>
      <c r="C4" s="49"/>
      <c r="D4" s="49"/>
      <c r="E4" s="4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12"/>
      <c r="U4" s="12"/>
      <c r="V4" s="12"/>
      <c r="W4" s="12"/>
      <c r="X4" s="12"/>
      <c r="Y4" s="12"/>
      <c r="Z4" s="12"/>
      <c r="AA4" s="17"/>
    </row>
    <row r="5" customHeight="1" spans="2:27">
      <c r="B5" s="48"/>
      <c r="C5" s="49"/>
      <c r="D5" s="49"/>
      <c r="E5" s="49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12"/>
      <c r="U5" s="12"/>
      <c r="V5" s="12"/>
      <c r="W5" s="12"/>
      <c r="X5" s="12"/>
      <c r="Y5" s="12"/>
      <c r="Z5" s="12"/>
      <c r="AA5" s="17"/>
    </row>
    <row r="6" customHeight="1" spans="2:27">
      <c r="B6" s="48"/>
      <c r="C6" s="49"/>
      <c r="D6" s="49"/>
      <c r="E6" s="49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12"/>
      <c r="U6" s="12"/>
      <c r="V6" s="12"/>
      <c r="W6" s="12"/>
      <c r="X6" s="12"/>
      <c r="Y6" s="12"/>
      <c r="Z6" s="12"/>
      <c r="AA6" s="17"/>
    </row>
    <row r="7" customHeight="1" spans="2:27">
      <c r="B7" s="51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5"/>
    </row>
    <row r="8" customHeight="1" spans="2:27"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5"/>
    </row>
    <row r="9" customHeight="1" spans="2:27"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5"/>
    </row>
    <row r="10" customHeight="1" spans="2:27"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5"/>
    </row>
    <row r="11" customHeight="1" spans="2:27"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5"/>
    </row>
    <row r="12" customHeight="1" spans="2:27"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5"/>
    </row>
    <row r="13" customHeight="1" spans="2:27"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5"/>
    </row>
    <row r="14" customHeight="1" spans="2:27"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5"/>
    </row>
    <row r="15" customHeight="1" spans="2:27"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5"/>
    </row>
    <row r="16" customHeight="1" spans="2:27"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5"/>
    </row>
    <row r="17" customHeight="1" spans="2:27"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5"/>
    </row>
    <row r="18" customHeight="1" spans="2:27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5"/>
    </row>
    <row r="19" customHeight="1" spans="2:27"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5"/>
    </row>
    <row r="20" customHeight="1" spans="2:27"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5"/>
    </row>
    <row r="21" customHeight="1" spans="2:27">
      <c r="B21" s="5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5"/>
    </row>
    <row r="22" customHeight="1" spans="2:27"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5"/>
    </row>
    <row r="23" customHeight="1" spans="2:27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5"/>
    </row>
    <row r="24" customHeight="1" spans="2:27"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5"/>
    </row>
    <row r="25" customHeight="1" spans="2:27"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5"/>
    </row>
    <row r="26" customHeight="1" spans="2:27"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5"/>
    </row>
    <row r="27" customHeight="1" spans="2:27"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5"/>
    </row>
    <row r="28" customHeight="1" spans="2:27"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5"/>
    </row>
    <row r="29" customHeight="1" spans="2:27"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5"/>
    </row>
    <row r="30" customHeight="1" spans="2:27"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5"/>
    </row>
    <row r="31" customHeight="1" spans="2:27"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5"/>
    </row>
    <row r="32" customHeight="1" spans="2:27"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5"/>
    </row>
    <row r="33" customHeight="1" spans="2:27"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5"/>
    </row>
    <row r="34" customHeight="1" spans="2:27"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5"/>
    </row>
    <row r="35" customHeight="1" spans="2:27"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5"/>
    </row>
    <row r="36" customHeight="1" spans="2:27"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5"/>
    </row>
    <row r="37" customHeight="1" spans="2:27"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5"/>
    </row>
    <row r="38" customHeight="1" spans="2:27"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5"/>
    </row>
    <row r="39" customHeight="1" spans="2:27"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5"/>
    </row>
    <row r="40" customHeight="1" spans="2:27"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5"/>
    </row>
    <row r="41" customHeight="1" spans="2:27"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5"/>
    </row>
    <row r="42" customHeight="1" spans="2:27"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5"/>
    </row>
    <row r="43" customHeight="1" spans="2:27"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5"/>
    </row>
    <row r="44" customHeight="1" spans="2:27"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5"/>
    </row>
    <row r="45" customHeight="1" spans="2:27"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5"/>
    </row>
    <row r="46" customHeight="1" spans="2:27"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5"/>
    </row>
    <row r="47" customHeight="1" spans="2:27">
      <c r="B47" s="51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5"/>
    </row>
    <row r="48" customHeight="1" spans="2:27"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5"/>
    </row>
    <row r="49" customHeight="1" spans="2:27">
      <c r="B49" s="51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5"/>
    </row>
    <row r="50" customHeight="1" spans="2:27">
      <c r="B50" s="51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5"/>
    </row>
    <row r="51" customHeight="1" spans="2:27">
      <c r="B51" s="51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5"/>
    </row>
    <row r="52" customHeight="1" spans="2:27"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5"/>
    </row>
    <row r="53" customHeight="1" spans="2:27">
      <c r="B53" s="51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5"/>
    </row>
    <row r="54" customHeight="1" spans="2:27">
      <c r="B54" s="51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5"/>
    </row>
    <row r="55" customHeight="1" spans="2:27">
      <c r="B55" s="51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5"/>
    </row>
    <row r="56" customHeight="1" spans="2:27"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5"/>
    </row>
    <row r="57" customHeight="1" spans="2:27">
      <c r="B57" s="51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5"/>
    </row>
    <row r="58" customHeight="1" spans="2:27">
      <c r="B58" s="51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5"/>
    </row>
    <row r="59" customHeight="1" spans="2:27">
      <c r="B59" s="51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5"/>
    </row>
    <row r="60" customHeight="1" spans="2:27">
      <c r="B60" s="5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5"/>
    </row>
    <row r="61" customHeight="1" spans="2:27">
      <c r="B61" s="51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5"/>
    </row>
    <row r="62" customHeight="1" spans="2:27">
      <c r="B62" s="51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5"/>
    </row>
    <row r="63" customHeight="1" spans="2:27">
      <c r="B63" s="51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5"/>
    </row>
    <row r="64" customHeight="1" spans="2:27">
      <c r="B64" s="51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5"/>
    </row>
    <row r="65" customHeight="1" spans="2:27">
      <c r="B65" s="51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5"/>
    </row>
    <row r="66" customHeight="1" spans="2:27">
      <c r="B66" s="51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5"/>
    </row>
    <row r="67" customHeight="1" spans="2:27">
      <c r="B67" s="51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5"/>
    </row>
    <row r="68" customHeight="1" spans="2:27">
      <c r="B68" s="51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5"/>
    </row>
    <row r="69" customHeight="1" spans="2:27">
      <c r="B69" s="51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5"/>
    </row>
    <row r="70" customHeight="1" spans="2:27">
      <c r="B70" s="51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5"/>
    </row>
    <row r="71" customHeight="1" spans="2:27">
      <c r="B71" s="51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5"/>
    </row>
    <row r="72" customHeight="1" spans="2:27">
      <c r="B72" s="51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5"/>
    </row>
    <row r="73" customHeight="1" spans="2:27">
      <c r="B73" s="51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5"/>
    </row>
    <row r="74" customHeight="1" spans="2:27">
      <c r="B74" s="51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5"/>
    </row>
    <row r="75" customHeight="1" spans="2:27">
      <c r="B75" s="51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5"/>
    </row>
    <row r="76" customHeight="1" spans="2:27">
      <c r="B76" s="51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5"/>
    </row>
    <row r="77" customHeight="1" spans="2:27">
      <c r="B77" s="51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5"/>
    </row>
    <row r="78" customHeight="1" spans="2:27">
      <c r="B78" s="51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5"/>
    </row>
    <row r="79" customHeight="1" spans="2:27">
      <c r="B79" s="51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5"/>
    </row>
    <row r="80" customHeight="1" spans="2:27">
      <c r="B80" s="51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5"/>
    </row>
    <row r="81" customHeight="1" spans="2:27">
      <c r="B81" s="51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5"/>
    </row>
    <row r="82" customHeight="1" spans="2:27">
      <c r="B82" s="51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5"/>
    </row>
    <row r="83" customHeight="1" spans="2:27">
      <c r="B83" s="51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5"/>
    </row>
    <row r="84" customHeight="1" spans="2:27">
      <c r="B84" s="51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5"/>
    </row>
    <row r="85" customHeight="1" spans="2:27">
      <c r="B85" s="51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5"/>
    </row>
    <row r="86" customHeight="1" spans="2:27">
      <c r="B86" s="51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5"/>
    </row>
    <row r="87" customHeight="1" spans="2:27">
      <c r="B87" s="51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5"/>
    </row>
    <row r="88" customHeight="1" spans="2:27">
      <c r="B88" s="51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5"/>
    </row>
    <row r="89" customHeight="1" spans="2:27">
      <c r="B89" s="51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5"/>
    </row>
    <row r="90" customHeight="1" spans="2:27">
      <c r="B90" s="51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5"/>
    </row>
    <row r="91" customHeight="1" spans="2:27">
      <c r="B91" s="51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5"/>
    </row>
    <row r="92" customHeight="1" spans="2:27">
      <c r="B92" s="51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5"/>
    </row>
    <row r="93" customHeight="1" spans="2:27">
      <c r="B93" s="51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5"/>
    </row>
    <row r="94" customHeight="1" spans="2:27">
      <c r="B94" s="51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5"/>
    </row>
    <row r="95" customHeight="1" spans="2:27">
      <c r="B95" s="51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5"/>
    </row>
    <row r="96" customHeight="1" spans="2:27">
      <c r="B96" s="51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5"/>
    </row>
    <row r="97" customHeight="1" spans="2:27">
      <c r="B97" s="51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5"/>
    </row>
    <row r="98" customHeight="1" spans="2:27">
      <c r="B98" s="51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5"/>
    </row>
    <row r="99" customHeight="1" spans="2:27">
      <c r="B99" s="51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5"/>
    </row>
    <row r="100" customHeight="1" spans="2:27">
      <c r="B100" s="51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5"/>
    </row>
    <row r="101" customHeight="1" spans="2:27">
      <c r="B101" s="51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5"/>
    </row>
    <row r="102" customHeight="1" spans="2:27">
      <c r="B102" s="51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5"/>
    </row>
    <row r="103" customHeight="1" spans="2:27">
      <c r="B103" s="51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5"/>
    </row>
    <row r="104" customHeight="1" spans="2:27">
      <c r="B104" s="51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5"/>
    </row>
    <row r="105" customHeight="1" spans="2:27">
      <c r="B105" s="51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5"/>
    </row>
    <row r="106" customHeight="1" spans="2:27">
      <c r="B106" s="51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5"/>
    </row>
    <row r="107" customHeight="1" spans="2:27">
      <c r="B107" s="51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5"/>
    </row>
    <row r="108" customHeight="1" spans="2:27">
      <c r="B108" s="51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5"/>
    </row>
    <row r="109" customHeight="1" spans="2:27">
      <c r="B109" s="51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5"/>
    </row>
    <row r="110" customHeight="1" spans="2:27">
      <c r="B110" s="51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5"/>
    </row>
    <row r="111" customHeight="1" spans="2:27">
      <c r="B111" s="51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5"/>
    </row>
    <row r="112" customHeight="1" spans="2:27">
      <c r="B112" s="51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5"/>
    </row>
    <row r="113" customHeight="1" spans="2:27">
      <c r="B113" s="51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5"/>
    </row>
    <row r="114" customHeight="1" spans="2:27">
      <c r="B114" s="51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5"/>
    </row>
    <row r="115" customHeight="1" spans="2:27">
      <c r="B115" s="51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5"/>
    </row>
    <row r="116" customHeight="1" spans="2:27">
      <c r="B116" s="51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5"/>
    </row>
    <row r="117" customHeight="1" spans="2:27">
      <c r="B117" s="51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5"/>
    </row>
    <row r="118" customHeight="1" spans="2:27">
      <c r="B118" s="51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5"/>
    </row>
    <row r="119" customHeight="1" spans="2:27">
      <c r="B119" s="51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5"/>
    </row>
    <row r="120" customHeight="1" spans="2:27">
      <c r="B120" s="51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5"/>
    </row>
    <row r="121" customHeight="1" spans="2:27">
      <c r="B121" s="51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5"/>
    </row>
    <row r="122" customHeight="1" spans="2:27">
      <c r="B122" s="51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5"/>
    </row>
    <row r="123" customHeight="1" spans="2:27">
      <c r="B123" s="51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5"/>
    </row>
    <row r="124" customHeight="1" spans="2:27">
      <c r="B124" s="51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5"/>
    </row>
    <row r="125" customHeight="1" spans="2:27">
      <c r="B125" s="51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5"/>
    </row>
    <row r="126" customHeight="1" spans="2:27">
      <c r="B126" s="51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5"/>
    </row>
    <row r="127" customHeight="1" spans="2:27">
      <c r="B127" s="51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5"/>
    </row>
    <row r="128" customHeight="1" spans="2:27">
      <c r="B128" s="51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5"/>
    </row>
    <row r="129" customHeight="1" spans="2:27">
      <c r="B129" s="51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5"/>
    </row>
    <row r="130" customHeight="1" spans="2:27">
      <c r="B130" s="51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5"/>
    </row>
    <row r="131" customHeight="1" spans="2:27">
      <c r="B131" s="51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5"/>
    </row>
    <row r="132" customHeight="1" spans="2:27">
      <c r="B132" s="51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5"/>
    </row>
    <row r="133" customHeight="1" spans="2:27">
      <c r="B133" s="51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5"/>
    </row>
    <row r="134" customHeight="1" spans="2:27">
      <c r="B134" s="51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5"/>
    </row>
    <row r="135" customHeight="1" spans="2:27">
      <c r="B135" s="51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5"/>
    </row>
    <row r="136" customHeight="1" spans="2:27">
      <c r="B136" s="51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5"/>
    </row>
    <row r="137" customHeight="1" spans="2:27">
      <c r="B137" s="51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5"/>
    </row>
    <row r="138" customHeight="1" spans="2:27">
      <c r="B138" s="51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5"/>
    </row>
    <row r="139" customHeight="1" spans="2:27">
      <c r="B139" s="51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5"/>
    </row>
    <row r="140" customHeight="1" spans="2:27">
      <c r="B140" s="51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5"/>
    </row>
    <row r="141" customHeight="1" spans="2:27">
      <c r="B141" s="51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5"/>
    </row>
    <row r="142" customHeight="1" spans="2:27">
      <c r="B142" s="51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5"/>
    </row>
    <row r="143" customHeight="1" spans="2:27">
      <c r="B143" s="51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5"/>
    </row>
    <row r="144" customHeight="1" spans="2:27">
      <c r="B144" s="51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5"/>
    </row>
    <row r="145" customHeight="1" spans="2:27">
      <c r="B145" s="51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5"/>
    </row>
    <row r="146" customHeight="1" spans="2:27">
      <c r="B146" s="51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5"/>
    </row>
    <row r="147" customHeight="1" spans="2:27">
      <c r="B147" s="51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5"/>
    </row>
    <row r="148" customHeight="1" spans="2:27">
      <c r="B148" s="51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5"/>
    </row>
    <row r="149" customHeight="1" spans="2:27">
      <c r="B149" s="51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5"/>
    </row>
    <row r="150" customHeight="1" spans="2:27">
      <c r="B150" s="51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5"/>
    </row>
    <row r="151" customHeight="1" spans="2:27">
      <c r="B151" s="51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5"/>
    </row>
    <row r="152" customHeight="1" spans="2:27">
      <c r="B152" s="51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5"/>
    </row>
    <row r="153" customHeight="1" spans="2:27">
      <c r="B153" s="51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5"/>
    </row>
    <row r="154" customHeight="1" spans="2:27">
      <c r="B154" s="51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5"/>
    </row>
    <row r="155" customHeight="1" spans="2:27">
      <c r="B155" s="51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5"/>
    </row>
    <row r="156" customHeight="1" spans="2:27">
      <c r="B156" s="51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5"/>
    </row>
    <row r="157" customHeight="1" spans="2:27">
      <c r="B157" s="51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5"/>
    </row>
    <row r="158" customHeight="1" spans="2:27">
      <c r="B158" s="51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5"/>
    </row>
    <row r="159" customHeight="1" spans="2:27">
      <c r="B159" s="51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5"/>
    </row>
    <row r="160" customHeight="1" spans="2:27">
      <c r="B160" s="51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5"/>
    </row>
    <row r="161" customHeight="1" spans="2:27">
      <c r="B161" s="51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5"/>
    </row>
    <row r="162" customHeight="1" spans="2:27">
      <c r="B162" s="51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5"/>
    </row>
    <row r="163" customHeight="1" spans="2:27">
      <c r="B163" s="51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5"/>
    </row>
    <row r="164" customHeight="1" spans="2:27">
      <c r="B164" s="51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5"/>
    </row>
    <row r="165" customHeight="1" spans="2:27">
      <c r="B165" s="51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5"/>
    </row>
    <row r="166" customHeight="1" spans="2:27">
      <c r="B166" s="51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5"/>
    </row>
    <row r="167" customHeight="1" spans="2:27">
      <c r="B167" s="51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5"/>
    </row>
    <row r="168" customHeight="1" spans="2:27">
      <c r="B168" s="51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5"/>
    </row>
    <row r="169" customHeight="1" spans="2:27">
      <c r="B169" s="51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5"/>
    </row>
    <row r="170" customHeight="1" spans="2:27">
      <c r="B170" s="51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5"/>
    </row>
    <row r="171" customHeight="1" spans="2:27">
      <c r="B171" s="51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5"/>
    </row>
    <row r="172" customHeight="1" spans="2:27">
      <c r="B172" s="51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5"/>
    </row>
    <row r="173" customHeight="1" spans="2:27">
      <c r="B173" s="51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5"/>
    </row>
    <row r="174" customHeight="1" spans="2:27">
      <c r="B174" s="51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5"/>
    </row>
    <row r="175" customHeight="1" spans="2:27">
      <c r="B175" s="51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5"/>
    </row>
    <row r="176" customHeight="1" spans="2:27">
      <c r="B176" s="51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5"/>
    </row>
    <row r="177" customHeight="1" spans="2:27">
      <c r="B177" s="51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5"/>
    </row>
    <row r="178" customHeight="1" spans="2:27">
      <c r="B178" s="51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5"/>
    </row>
    <row r="179" customHeight="1" spans="2:27">
      <c r="B179" s="51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5"/>
    </row>
    <row r="180" customHeight="1" spans="2:27">
      <c r="B180" s="51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5"/>
    </row>
    <row r="181" customHeight="1" spans="2:27">
      <c r="B181" s="51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5"/>
    </row>
    <row r="182" customHeight="1" spans="2:27">
      <c r="B182" s="51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5"/>
    </row>
    <row r="183" customHeight="1" spans="2:27">
      <c r="B183" s="51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5"/>
    </row>
    <row r="184" customHeight="1" spans="2:27">
      <c r="B184" s="51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5"/>
    </row>
    <row r="185" customHeight="1" spans="2:27">
      <c r="B185" s="51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5"/>
    </row>
    <row r="186" customHeight="1" spans="2:27">
      <c r="B186" s="51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5"/>
    </row>
    <row r="187" customHeight="1" spans="2:27">
      <c r="B187" s="51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5"/>
    </row>
    <row r="188" customHeight="1" spans="2:27">
      <c r="B188" s="51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5"/>
    </row>
    <row r="189" customHeight="1" spans="2:27">
      <c r="B189" s="51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5"/>
    </row>
    <row r="190" customHeight="1" spans="2:27">
      <c r="B190" s="51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5"/>
    </row>
    <row r="191" customHeight="1" spans="2:27">
      <c r="B191" s="51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5"/>
    </row>
    <row r="192" customHeight="1" spans="2:27">
      <c r="B192" s="51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5"/>
    </row>
    <row r="193" customHeight="1" spans="2:27">
      <c r="B193" s="51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5"/>
    </row>
    <row r="194" customHeight="1" spans="2:27">
      <c r="B194" s="51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5"/>
    </row>
    <row r="195" customHeight="1" spans="2:27">
      <c r="B195" s="51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5"/>
    </row>
    <row r="196" customHeight="1" spans="2:27">
      <c r="B196" s="51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5"/>
    </row>
    <row r="197" customHeight="1" spans="2:27">
      <c r="B197" s="51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5"/>
    </row>
    <row r="198" customHeight="1" spans="2:27">
      <c r="B198" s="51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5"/>
    </row>
    <row r="199" customHeight="1" spans="2:27">
      <c r="B199" s="51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5"/>
    </row>
    <row r="200" customHeight="1" spans="2:27">
      <c r="B200" s="51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5"/>
    </row>
    <row r="201" customHeight="1" spans="2:27">
      <c r="B201" s="51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5"/>
    </row>
    <row r="202" customHeight="1" spans="2:27">
      <c r="B202" s="51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5"/>
    </row>
    <row r="203" customHeight="1" spans="2:27">
      <c r="B203" s="51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5"/>
    </row>
    <row r="204" customHeight="1" spans="2:27">
      <c r="B204" s="51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5"/>
    </row>
    <row r="205" customHeight="1" spans="2:27">
      <c r="B205" s="51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5"/>
    </row>
    <row r="206" customHeight="1" spans="2:27">
      <c r="B206" s="51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5"/>
    </row>
    <row r="207" customHeight="1" spans="2:27">
      <c r="B207" s="51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5"/>
    </row>
    <row r="208" customHeight="1" spans="2:27">
      <c r="B208" s="51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5"/>
    </row>
    <row r="209" customHeight="1" spans="2:27">
      <c r="B209" s="51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5"/>
    </row>
    <row r="210" customHeight="1" spans="2:27">
      <c r="B210" s="51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5"/>
    </row>
    <row r="211" customHeight="1" spans="2:27">
      <c r="B211" s="51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5"/>
    </row>
    <row r="212" customHeight="1" spans="2:27">
      <c r="B212" s="51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5"/>
    </row>
    <row r="213" customHeight="1" spans="2:27">
      <c r="B213" s="51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5"/>
    </row>
    <row r="214" customHeight="1" spans="2:27">
      <c r="B214" s="51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5"/>
    </row>
    <row r="215" customHeight="1" spans="2:27">
      <c r="B215" s="51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5"/>
    </row>
    <row r="216" customHeight="1" spans="2:27">
      <c r="B216" s="51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5"/>
    </row>
    <row r="217" customHeight="1" spans="2:27">
      <c r="B217" s="51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5"/>
    </row>
    <row r="218" customHeight="1" spans="2:27">
      <c r="B218" s="51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5"/>
    </row>
    <row r="219" customHeight="1" spans="2:27">
      <c r="B219" s="51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5"/>
    </row>
    <row r="220" customHeight="1" spans="2:27">
      <c r="B220" s="51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5"/>
    </row>
    <row r="221" customHeight="1" spans="2:27">
      <c r="B221" s="51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5"/>
    </row>
    <row r="222" customHeight="1" spans="2:27">
      <c r="B222" s="51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5"/>
    </row>
    <row r="223" customHeight="1" spans="2:27">
      <c r="B223" s="51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5"/>
    </row>
    <row r="224" customHeight="1" spans="2:27">
      <c r="B224" s="51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5"/>
    </row>
    <row r="225" customHeight="1" spans="2:27">
      <c r="B225" s="51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5"/>
    </row>
    <row r="226" customHeight="1" spans="2:27">
      <c r="B226" s="51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5"/>
    </row>
    <row r="227" customHeight="1" spans="2:27">
      <c r="B227" s="51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5"/>
    </row>
    <row r="228" customHeight="1" spans="2:27">
      <c r="B228" s="51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5"/>
    </row>
    <row r="229" customHeight="1" spans="2:27">
      <c r="B229" s="51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5"/>
    </row>
    <row r="230" customHeight="1" spans="2:27">
      <c r="B230" s="51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5"/>
    </row>
    <row r="231" customHeight="1" spans="2:27">
      <c r="B231" s="51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5"/>
    </row>
    <row r="232" customHeight="1" spans="2:27">
      <c r="B232" s="51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5"/>
    </row>
    <row r="233" customHeight="1" spans="2:27">
      <c r="B233" s="51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5"/>
    </row>
    <row r="234" customHeight="1" spans="2:27">
      <c r="B234" s="51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5"/>
    </row>
    <row r="235" customHeight="1" spans="2:27">
      <c r="B235" s="51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5"/>
    </row>
    <row r="236" customHeight="1" spans="2:27">
      <c r="B236" s="51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5"/>
    </row>
    <row r="237" customHeight="1" spans="2:27">
      <c r="B237" s="51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5"/>
    </row>
    <row r="238" customHeight="1" spans="2:27">
      <c r="B238" s="51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5"/>
    </row>
    <row r="239" customHeight="1" spans="2:27">
      <c r="B239" s="51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5"/>
    </row>
    <row r="240" customHeight="1" spans="2:27">
      <c r="B240" s="51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5"/>
    </row>
    <row r="241" customHeight="1" spans="2:27">
      <c r="B241" s="51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5"/>
    </row>
    <row r="242" customHeight="1" spans="2:27">
      <c r="B242" s="51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5"/>
    </row>
    <row r="243" customHeight="1" spans="2:27">
      <c r="B243" s="51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5"/>
    </row>
    <row r="244" customHeight="1" spans="2:27">
      <c r="B244" s="51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5"/>
    </row>
    <row r="245" customHeight="1" spans="2:27">
      <c r="B245" s="51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5"/>
    </row>
    <row r="246" customHeight="1" spans="2:27">
      <c r="B246" s="51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5"/>
    </row>
    <row r="247" customHeight="1" spans="2:27">
      <c r="B247" s="51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5"/>
    </row>
    <row r="248" customHeight="1" spans="2:27">
      <c r="B248" s="51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5"/>
    </row>
    <row r="249" customHeight="1" spans="2:27">
      <c r="B249" s="51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5"/>
    </row>
    <row r="250" customHeight="1" spans="2:27">
      <c r="B250" s="51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5"/>
    </row>
    <row r="251" customHeight="1" spans="2:27">
      <c r="B251" s="51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5"/>
    </row>
    <row r="252" customHeight="1" spans="2:27">
      <c r="B252" s="51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5"/>
    </row>
    <row r="253" customHeight="1" spans="2:27">
      <c r="B253" s="51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5"/>
    </row>
    <row r="254" customHeight="1" spans="2:27">
      <c r="B254" s="51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5"/>
    </row>
    <row r="255" customHeight="1" spans="2:27">
      <c r="B255" s="51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5"/>
    </row>
    <row r="256" customHeight="1" spans="2:27">
      <c r="B256" s="51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5"/>
    </row>
    <row r="257" customHeight="1" spans="2:27">
      <c r="B257" s="51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5"/>
    </row>
    <row r="258" customHeight="1" spans="2:27">
      <c r="B258" s="51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5"/>
    </row>
    <row r="259" customHeight="1" spans="2:27">
      <c r="B259" s="51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5"/>
    </row>
    <row r="260" customHeight="1" spans="2:27">
      <c r="B260" s="51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5"/>
    </row>
    <row r="261" customHeight="1" spans="2:27">
      <c r="B261" s="51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5"/>
    </row>
    <row r="262" customHeight="1" spans="2:27">
      <c r="B262" s="51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5"/>
    </row>
    <row r="263" customHeight="1" spans="2:27">
      <c r="B263" s="51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5"/>
    </row>
    <row r="264" customHeight="1" spans="2:27">
      <c r="B264" s="51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5"/>
    </row>
    <row r="265" customHeight="1" spans="2:27">
      <c r="B265" s="51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5"/>
    </row>
    <row r="266" customHeight="1" spans="2:27">
      <c r="B266" s="51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5"/>
    </row>
    <row r="267" customHeight="1" spans="2:27">
      <c r="B267" s="51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5"/>
    </row>
    <row r="268" customHeight="1" spans="2:27">
      <c r="B268" s="51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5"/>
    </row>
    <row r="269" customHeight="1" spans="2:27">
      <c r="B269" s="51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5"/>
    </row>
    <row r="270" customHeight="1" spans="2:27">
      <c r="B270" s="51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5"/>
    </row>
    <row r="271" customHeight="1" spans="2:27">
      <c r="B271" s="51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5"/>
    </row>
    <row r="272" customHeight="1" spans="2:27">
      <c r="B272" s="51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5"/>
    </row>
    <row r="273" customHeight="1" spans="2:27">
      <c r="B273" s="51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5"/>
    </row>
    <row r="274" customHeight="1" spans="2:27">
      <c r="B274" s="51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5"/>
    </row>
    <row r="275" customHeight="1" spans="2:27">
      <c r="B275" s="51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5"/>
    </row>
    <row r="276" customHeight="1" spans="2:27">
      <c r="B276" s="51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5"/>
    </row>
    <row r="277" customHeight="1" spans="2:27">
      <c r="B277" s="51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5"/>
    </row>
    <row r="278" customHeight="1" spans="2:27">
      <c r="B278" s="51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5"/>
    </row>
    <row r="279" customHeight="1" spans="2:27">
      <c r="B279" s="51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5"/>
    </row>
    <row r="280" customHeight="1" spans="2:27">
      <c r="B280" s="51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5"/>
    </row>
    <row r="281" customHeight="1" spans="2:27">
      <c r="B281" s="51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5"/>
    </row>
    <row r="282" customHeight="1" spans="2:27">
      <c r="B282" s="51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5"/>
    </row>
    <row r="283" customHeight="1" spans="2:27">
      <c r="B283" s="51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5"/>
    </row>
    <row r="284" customHeight="1" spans="2:27">
      <c r="B284" s="51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5"/>
    </row>
    <row r="285" customHeight="1" spans="2:27">
      <c r="B285" s="51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5"/>
    </row>
    <row r="286" customHeight="1" spans="2:27">
      <c r="B286" s="51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5"/>
    </row>
    <row r="287" customHeight="1" spans="2:27">
      <c r="B287" s="51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5"/>
    </row>
    <row r="288" customHeight="1" spans="2:27">
      <c r="B288" s="51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5"/>
    </row>
    <row r="289" customHeight="1" spans="2:27">
      <c r="B289" s="51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5"/>
    </row>
    <row r="290" customHeight="1" spans="2:27">
      <c r="B290" s="51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5"/>
    </row>
    <row r="291" customHeight="1" spans="2:27">
      <c r="B291" s="51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5"/>
    </row>
    <row r="292" customHeight="1" spans="2:27">
      <c r="B292" s="51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5"/>
    </row>
    <row r="293" customHeight="1" spans="2:27">
      <c r="B293" s="51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5"/>
    </row>
    <row r="294" customHeight="1" spans="2:27">
      <c r="B294" s="51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5"/>
    </row>
    <row r="295" customHeight="1" spans="2:27">
      <c r="B295" s="51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5"/>
    </row>
    <row r="296" customHeight="1" spans="2:27">
      <c r="B296" s="51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5"/>
    </row>
    <row r="297" customHeight="1" spans="2:27">
      <c r="B297" s="51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5"/>
    </row>
    <row r="298" customHeight="1" spans="2:27">
      <c r="B298" s="51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5"/>
    </row>
    <row r="299" customHeight="1" spans="2:27">
      <c r="B299" s="51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5"/>
    </row>
    <row r="300" customHeight="1" spans="2:27">
      <c r="B300" s="51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5"/>
    </row>
    <row r="301" customHeight="1" spans="2:27">
      <c r="B301" s="51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5"/>
    </row>
    <row r="302" customHeight="1" spans="2:27">
      <c r="B302" s="51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5"/>
    </row>
    <row r="303" customHeight="1" spans="2:27">
      <c r="B303" s="51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5"/>
    </row>
    <row r="304" customHeight="1" spans="2:27">
      <c r="B304" s="51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5"/>
    </row>
    <row r="305" customHeight="1" spans="2:27">
      <c r="B305" s="51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5"/>
    </row>
    <row r="306" customHeight="1" spans="2:27">
      <c r="B306" s="51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5"/>
    </row>
    <row r="307" customHeight="1" spans="2:27">
      <c r="B307" s="51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5"/>
    </row>
    <row r="308" customHeight="1" spans="2:27">
      <c r="B308" s="51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5"/>
    </row>
    <row r="309" customHeight="1" spans="2:27">
      <c r="B309" s="51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5"/>
    </row>
    <row r="310" customHeight="1" spans="2:27">
      <c r="B310" s="51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5"/>
    </row>
    <row r="311" customHeight="1" spans="2:27">
      <c r="B311" s="51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5"/>
    </row>
    <row r="312" customHeight="1" spans="2:27">
      <c r="B312" s="51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5"/>
    </row>
    <row r="313" customHeight="1" spans="2:27">
      <c r="B313" s="51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5"/>
    </row>
    <row r="314" customHeight="1" spans="2:27">
      <c r="B314" s="51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5"/>
    </row>
    <row r="315" customHeight="1" spans="2:27">
      <c r="B315" s="51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5"/>
    </row>
    <row r="316" customHeight="1" spans="2:27">
      <c r="B316" s="51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5"/>
    </row>
    <row r="317" customHeight="1" spans="2:27">
      <c r="B317" s="51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5"/>
    </row>
    <row r="318" customHeight="1" spans="2:27">
      <c r="B318" s="51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5"/>
    </row>
    <row r="319" customHeight="1" spans="2:27">
      <c r="B319" s="51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5"/>
    </row>
    <row r="320" customHeight="1" spans="2:27">
      <c r="B320" s="51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5"/>
    </row>
    <row r="321" customHeight="1" spans="2:27">
      <c r="B321" s="51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5"/>
    </row>
    <row r="322" customHeight="1" spans="2:27">
      <c r="B322" s="51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5"/>
    </row>
    <row r="323" customHeight="1" spans="2:27">
      <c r="B323" s="51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5"/>
    </row>
    <row r="324" customHeight="1" spans="2:27">
      <c r="B324" s="51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5"/>
    </row>
    <row r="325" customHeight="1" spans="2:27">
      <c r="B325" s="51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5"/>
    </row>
    <row r="326" customHeight="1" spans="2:27">
      <c r="B326" s="51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5"/>
    </row>
    <row r="327" customHeight="1" spans="2:27">
      <c r="B327" s="51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5"/>
    </row>
    <row r="328" customHeight="1" spans="2:27">
      <c r="B328" s="51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5"/>
    </row>
    <row r="329" customHeight="1" spans="2:27">
      <c r="B329" s="51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5"/>
    </row>
    <row r="330" customHeight="1" spans="2:27">
      <c r="B330" s="51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5"/>
    </row>
    <row r="331" customHeight="1" spans="2:27">
      <c r="B331" s="51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5"/>
    </row>
    <row r="332" customHeight="1" spans="2:27">
      <c r="B332" s="51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5"/>
    </row>
    <row r="333" customHeight="1" spans="2:27">
      <c r="B333" s="51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5"/>
    </row>
    <row r="334" customHeight="1" spans="2:27">
      <c r="B334" s="51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5"/>
    </row>
    <row r="335" customHeight="1" spans="2:27">
      <c r="B335" s="51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5"/>
    </row>
    <row r="336" customHeight="1" spans="2:27">
      <c r="B336" s="51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5"/>
    </row>
    <row r="337" customHeight="1" spans="2:27">
      <c r="B337" s="51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5"/>
    </row>
    <row r="338" customHeight="1" spans="2:27">
      <c r="B338" s="51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5"/>
    </row>
    <row r="339" customHeight="1" spans="2:27">
      <c r="B339" s="51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5"/>
    </row>
    <row r="340" customHeight="1" spans="2:27">
      <c r="B340" s="51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5"/>
    </row>
    <row r="341" customHeight="1" spans="2:27">
      <c r="B341" s="51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5"/>
    </row>
    <row r="342" customHeight="1" spans="2:27">
      <c r="B342" s="51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5"/>
    </row>
    <row r="343" customHeight="1" spans="2:27">
      <c r="B343" s="51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5"/>
    </row>
    <row r="344" customHeight="1" spans="2:27">
      <c r="B344" s="51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5"/>
    </row>
    <row r="345" customHeight="1" spans="2:27">
      <c r="B345" s="51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5"/>
    </row>
    <row r="346" customHeight="1" spans="2:27">
      <c r="B346" s="51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5"/>
    </row>
    <row r="347" customHeight="1" spans="2:27">
      <c r="B347" s="51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5"/>
    </row>
    <row r="348" customHeight="1" spans="2:27">
      <c r="B348" s="51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5"/>
    </row>
    <row r="349" customHeight="1" spans="2:27">
      <c r="B349" s="51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5"/>
    </row>
    <row r="350" customHeight="1" spans="2:27">
      <c r="B350" s="51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5"/>
    </row>
    <row r="351" customHeight="1" spans="2:27">
      <c r="B351" s="51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5"/>
    </row>
    <row r="352" customHeight="1" spans="2:27">
      <c r="B352" s="51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5"/>
    </row>
    <row r="353" customHeight="1" spans="2:27">
      <c r="B353" s="51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5"/>
    </row>
    <row r="354" customHeight="1" spans="2:27">
      <c r="B354" s="51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5"/>
    </row>
    <row r="355" customHeight="1" spans="2:27">
      <c r="B355" s="51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5"/>
    </row>
    <row r="356" customHeight="1" spans="2:27">
      <c r="B356" s="51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5"/>
    </row>
    <row r="357" customHeight="1" spans="2:27">
      <c r="B357" s="51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5"/>
    </row>
    <row r="358" customHeight="1" spans="2:27">
      <c r="B358" s="51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5"/>
    </row>
    <row r="359" customHeight="1" spans="2:27">
      <c r="B359" s="51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5"/>
    </row>
    <row r="360" customHeight="1" spans="2:27">
      <c r="B360" s="51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5"/>
    </row>
    <row r="361" customHeight="1" spans="2:27">
      <c r="B361" s="51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5"/>
    </row>
    <row r="362" customHeight="1" spans="2:27">
      <c r="B362" s="51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5"/>
    </row>
    <row r="363" customHeight="1" spans="2:27">
      <c r="B363" s="51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5"/>
    </row>
    <row r="364" customHeight="1" spans="2:27">
      <c r="B364" s="51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5"/>
    </row>
    <row r="365" customHeight="1" spans="2:27">
      <c r="B365" s="51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5"/>
    </row>
    <row r="366" customHeight="1" spans="2:27">
      <c r="B366" s="51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5"/>
    </row>
    <row r="367" customHeight="1" spans="2:27">
      <c r="B367" s="51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5"/>
    </row>
    <row r="368" customHeight="1" spans="2:27">
      <c r="B368" s="51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5"/>
    </row>
    <row r="369" customHeight="1" spans="2:27">
      <c r="B369" s="51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5"/>
    </row>
    <row r="370" customHeight="1" spans="2:27">
      <c r="B370" s="51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5"/>
    </row>
    <row r="371" customHeight="1" spans="2:27">
      <c r="B371" s="51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5"/>
    </row>
    <row r="372" customHeight="1" spans="2:27">
      <c r="B372" s="51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5"/>
    </row>
    <row r="373" customHeight="1" spans="2:27">
      <c r="B373" s="51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5"/>
    </row>
    <row r="374" customHeight="1" spans="2:27">
      <c r="B374" s="51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5"/>
    </row>
    <row r="375" customHeight="1" spans="2:27">
      <c r="B375" s="51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5"/>
    </row>
    <row r="376" customHeight="1" spans="2:27">
      <c r="B376" s="51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5"/>
    </row>
    <row r="377" customHeight="1" spans="2:27">
      <c r="B377" s="51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5"/>
    </row>
    <row r="378" customHeight="1" spans="2:27">
      <c r="B378" s="51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5"/>
    </row>
    <row r="379" customHeight="1" spans="2:27">
      <c r="B379" s="51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5"/>
    </row>
    <row r="380" customHeight="1" spans="2:27">
      <c r="B380" s="51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5"/>
    </row>
    <row r="381" customHeight="1" spans="2:27">
      <c r="B381" s="51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5"/>
    </row>
    <row r="382" customHeight="1" spans="2:27">
      <c r="B382" s="51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5"/>
    </row>
    <row r="383" customHeight="1" spans="2:27">
      <c r="B383" s="51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5"/>
    </row>
    <row r="384" customHeight="1" spans="2:27">
      <c r="B384" s="51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5"/>
    </row>
    <row r="385" customHeight="1" spans="2:27">
      <c r="B385" s="51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5"/>
    </row>
    <row r="386" customHeight="1" spans="2:27">
      <c r="B386" s="51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5"/>
    </row>
    <row r="387" customHeight="1" spans="2:27">
      <c r="B387" s="51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5"/>
    </row>
    <row r="388" customHeight="1" spans="2:27">
      <c r="B388" s="51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5"/>
    </row>
    <row r="389" customHeight="1" spans="2:27">
      <c r="B389" s="51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5"/>
    </row>
    <row r="390" customHeight="1" spans="2:27">
      <c r="B390" s="51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5"/>
    </row>
    <row r="391" customHeight="1" spans="2:27">
      <c r="B391" s="51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5"/>
    </row>
    <row r="392" customHeight="1" spans="2:27">
      <c r="B392" s="51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5"/>
    </row>
    <row r="393" customHeight="1" spans="2:27">
      <c r="B393" s="51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5"/>
    </row>
    <row r="394" customHeight="1" spans="2:27">
      <c r="B394" s="51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5"/>
    </row>
    <row r="395" customHeight="1" spans="2:27">
      <c r="B395" s="51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5"/>
    </row>
    <row r="396" customHeight="1" spans="2:27">
      <c r="B396" s="51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5"/>
    </row>
    <row r="397" customHeight="1" spans="2:27">
      <c r="B397" s="51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5"/>
    </row>
    <row r="398" customHeight="1" spans="2:27">
      <c r="B398" s="51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5"/>
    </row>
    <row r="399" customHeight="1" spans="2:27">
      <c r="B399" s="51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5"/>
    </row>
    <row r="400" customHeight="1" spans="2:27">
      <c r="B400" s="51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5"/>
    </row>
    <row r="401" customHeight="1" spans="2:27">
      <c r="B401" s="51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5"/>
    </row>
    <row r="402" customHeight="1" spans="2:27">
      <c r="B402" s="56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8"/>
    </row>
  </sheetData>
  <mergeCells count="505">
    <mergeCell ref="B2:E2"/>
    <mergeCell ref="F2:K2"/>
    <mergeCell ref="L2:O2"/>
    <mergeCell ref="P2:S2"/>
    <mergeCell ref="T2:AA2"/>
    <mergeCell ref="B3:E6"/>
    <mergeCell ref="F3:K6"/>
    <mergeCell ref="L3:O6"/>
    <mergeCell ref="P3:S6"/>
    <mergeCell ref="L7:O10"/>
    <mergeCell ref="P7:S10"/>
    <mergeCell ref="L11:O14"/>
    <mergeCell ref="P11:S14"/>
    <mergeCell ref="L15:O18"/>
    <mergeCell ref="P15:S18"/>
    <mergeCell ref="L19:O22"/>
    <mergeCell ref="P19:S22"/>
    <mergeCell ref="L23:O26"/>
    <mergeCell ref="P23:S26"/>
    <mergeCell ref="L27:O30"/>
    <mergeCell ref="P27:S30"/>
    <mergeCell ref="L31:O34"/>
    <mergeCell ref="P31:S34"/>
    <mergeCell ref="L35:O38"/>
    <mergeCell ref="P35:S38"/>
    <mergeCell ref="L39:O42"/>
    <mergeCell ref="P39:S42"/>
    <mergeCell ref="L43:O46"/>
    <mergeCell ref="P43:S46"/>
    <mergeCell ref="L47:O50"/>
    <mergeCell ref="P47:S50"/>
    <mergeCell ref="L51:O54"/>
    <mergeCell ref="P51:S54"/>
    <mergeCell ref="L55:O58"/>
    <mergeCell ref="P55:S58"/>
    <mergeCell ref="L59:O62"/>
    <mergeCell ref="P59:S62"/>
    <mergeCell ref="L63:O66"/>
    <mergeCell ref="P63:S66"/>
    <mergeCell ref="L67:O70"/>
    <mergeCell ref="P67:S70"/>
    <mergeCell ref="L71:O74"/>
    <mergeCell ref="P71:S74"/>
    <mergeCell ref="L75:O78"/>
    <mergeCell ref="P75:S78"/>
    <mergeCell ref="L79:O82"/>
    <mergeCell ref="P79:S82"/>
    <mergeCell ref="L83:O86"/>
    <mergeCell ref="P83:S86"/>
    <mergeCell ref="L87:O90"/>
    <mergeCell ref="P87:S90"/>
    <mergeCell ref="L91:O94"/>
    <mergeCell ref="P91:S94"/>
    <mergeCell ref="L95:O98"/>
    <mergeCell ref="P95:S98"/>
    <mergeCell ref="L99:O102"/>
    <mergeCell ref="P99:S102"/>
    <mergeCell ref="L103:O106"/>
    <mergeCell ref="P103:S106"/>
    <mergeCell ref="L107:O110"/>
    <mergeCell ref="P107:S110"/>
    <mergeCell ref="L111:O114"/>
    <mergeCell ref="P111:S114"/>
    <mergeCell ref="L115:O118"/>
    <mergeCell ref="P115:S118"/>
    <mergeCell ref="L119:O122"/>
    <mergeCell ref="P119:S122"/>
    <mergeCell ref="L123:O126"/>
    <mergeCell ref="P123:S126"/>
    <mergeCell ref="L127:O130"/>
    <mergeCell ref="P127:S130"/>
    <mergeCell ref="L131:O134"/>
    <mergeCell ref="P131:S134"/>
    <mergeCell ref="L135:O138"/>
    <mergeCell ref="P135:S138"/>
    <mergeCell ref="L139:O142"/>
    <mergeCell ref="P139:S142"/>
    <mergeCell ref="L143:O146"/>
    <mergeCell ref="P143:S146"/>
    <mergeCell ref="L147:O150"/>
    <mergeCell ref="P147:S150"/>
    <mergeCell ref="L151:O154"/>
    <mergeCell ref="P151:S154"/>
    <mergeCell ref="L155:O158"/>
    <mergeCell ref="P155:S158"/>
    <mergeCell ref="L159:O162"/>
    <mergeCell ref="P159:S162"/>
    <mergeCell ref="L163:O166"/>
    <mergeCell ref="P163:S166"/>
    <mergeCell ref="L167:O170"/>
    <mergeCell ref="P167:S170"/>
    <mergeCell ref="L171:O174"/>
    <mergeCell ref="P171:S174"/>
    <mergeCell ref="L175:O178"/>
    <mergeCell ref="P175:S178"/>
    <mergeCell ref="L179:O182"/>
    <mergeCell ref="P179:S182"/>
    <mergeCell ref="L183:O186"/>
    <mergeCell ref="P183:S186"/>
    <mergeCell ref="L187:O190"/>
    <mergeCell ref="P187:S190"/>
    <mergeCell ref="L191:O194"/>
    <mergeCell ref="P191:S194"/>
    <mergeCell ref="L195:O198"/>
    <mergeCell ref="P195:S198"/>
    <mergeCell ref="L199:O202"/>
    <mergeCell ref="P199:S202"/>
    <mergeCell ref="L203:O206"/>
    <mergeCell ref="P203:S206"/>
    <mergeCell ref="L207:O210"/>
    <mergeCell ref="P207:S210"/>
    <mergeCell ref="L211:O214"/>
    <mergeCell ref="P211:S214"/>
    <mergeCell ref="L215:O218"/>
    <mergeCell ref="P215:S218"/>
    <mergeCell ref="L219:O222"/>
    <mergeCell ref="P219:S222"/>
    <mergeCell ref="L223:O226"/>
    <mergeCell ref="P223:S226"/>
    <mergeCell ref="L227:O230"/>
    <mergeCell ref="P227:S230"/>
    <mergeCell ref="L231:O234"/>
    <mergeCell ref="P231:S234"/>
    <mergeCell ref="L235:O238"/>
    <mergeCell ref="P235:S238"/>
    <mergeCell ref="L239:O242"/>
    <mergeCell ref="P239:S242"/>
    <mergeCell ref="L243:O246"/>
    <mergeCell ref="P243:S246"/>
    <mergeCell ref="L247:O250"/>
    <mergeCell ref="P247:S250"/>
    <mergeCell ref="L251:O254"/>
    <mergeCell ref="P251:S254"/>
    <mergeCell ref="L255:O258"/>
    <mergeCell ref="P255:S258"/>
    <mergeCell ref="L259:O262"/>
    <mergeCell ref="P259:S262"/>
    <mergeCell ref="L263:O266"/>
    <mergeCell ref="P263:S266"/>
    <mergeCell ref="L267:O270"/>
    <mergeCell ref="P267:S270"/>
    <mergeCell ref="L271:O274"/>
    <mergeCell ref="P271:S274"/>
    <mergeCell ref="L275:O278"/>
    <mergeCell ref="P275:S278"/>
    <mergeCell ref="L279:O282"/>
    <mergeCell ref="P279:S282"/>
    <mergeCell ref="L283:O286"/>
    <mergeCell ref="P283:S286"/>
    <mergeCell ref="L287:O290"/>
    <mergeCell ref="P287:S290"/>
    <mergeCell ref="L291:O294"/>
    <mergeCell ref="P291:S294"/>
    <mergeCell ref="L295:O298"/>
    <mergeCell ref="P295:S298"/>
    <mergeCell ref="L299:O302"/>
    <mergeCell ref="P299:S302"/>
    <mergeCell ref="L303:O306"/>
    <mergeCell ref="P303:S306"/>
    <mergeCell ref="L307:O310"/>
    <mergeCell ref="P307:S310"/>
    <mergeCell ref="L311:O314"/>
    <mergeCell ref="P311:S314"/>
    <mergeCell ref="L315:O318"/>
    <mergeCell ref="P315:S318"/>
    <mergeCell ref="L319:O322"/>
    <mergeCell ref="P319:S322"/>
    <mergeCell ref="L323:O326"/>
    <mergeCell ref="P323:S326"/>
    <mergeCell ref="L327:O330"/>
    <mergeCell ref="P327:S330"/>
    <mergeCell ref="L331:O334"/>
    <mergeCell ref="P331:S334"/>
    <mergeCell ref="L335:O338"/>
    <mergeCell ref="P335:S338"/>
    <mergeCell ref="L339:O342"/>
    <mergeCell ref="P339:S342"/>
    <mergeCell ref="L343:O346"/>
    <mergeCell ref="P343:S346"/>
    <mergeCell ref="L347:O350"/>
    <mergeCell ref="P347:S350"/>
    <mergeCell ref="L351:O354"/>
    <mergeCell ref="P351:S354"/>
    <mergeCell ref="L355:O358"/>
    <mergeCell ref="P355:S358"/>
    <mergeCell ref="L359:O362"/>
    <mergeCell ref="P359:S362"/>
    <mergeCell ref="L363:O366"/>
    <mergeCell ref="P363:S366"/>
    <mergeCell ref="L367:O370"/>
    <mergeCell ref="P367:S370"/>
    <mergeCell ref="L371:O374"/>
    <mergeCell ref="P371:S374"/>
    <mergeCell ref="L375:O378"/>
    <mergeCell ref="P375:S378"/>
    <mergeCell ref="L379:O382"/>
    <mergeCell ref="P379:S382"/>
    <mergeCell ref="L383:O386"/>
    <mergeCell ref="P383:S386"/>
    <mergeCell ref="L387:O390"/>
    <mergeCell ref="P387:S390"/>
    <mergeCell ref="L391:O394"/>
    <mergeCell ref="P391:S394"/>
    <mergeCell ref="L395:O398"/>
    <mergeCell ref="P395:S398"/>
    <mergeCell ref="L399:O402"/>
    <mergeCell ref="P399:S402"/>
    <mergeCell ref="B7:E10"/>
    <mergeCell ref="B11:E14"/>
    <mergeCell ref="B15:E18"/>
    <mergeCell ref="B19:E22"/>
    <mergeCell ref="B23:E26"/>
    <mergeCell ref="B27:E30"/>
    <mergeCell ref="B31:E34"/>
    <mergeCell ref="B35:E38"/>
    <mergeCell ref="B39:E42"/>
    <mergeCell ref="B43:E46"/>
    <mergeCell ref="B47:E50"/>
    <mergeCell ref="B51:E54"/>
    <mergeCell ref="B55:E58"/>
    <mergeCell ref="B59:E62"/>
    <mergeCell ref="B63:E66"/>
    <mergeCell ref="B67:E70"/>
    <mergeCell ref="B71:E74"/>
    <mergeCell ref="B75:E78"/>
    <mergeCell ref="B79:E82"/>
    <mergeCell ref="B83:E86"/>
    <mergeCell ref="B87:E90"/>
    <mergeCell ref="B91:E94"/>
    <mergeCell ref="B95:E98"/>
    <mergeCell ref="B99:E102"/>
    <mergeCell ref="B103:E106"/>
    <mergeCell ref="B107:E110"/>
    <mergeCell ref="B111:E114"/>
    <mergeCell ref="B115:E118"/>
    <mergeCell ref="B119:E122"/>
    <mergeCell ref="B123:E126"/>
    <mergeCell ref="B127:E130"/>
    <mergeCell ref="B131:E134"/>
    <mergeCell ref="B135:E138"/>
    <mergeCell ref="B139:E142"/>
    <mergeCell ref="B143:E146"/>
    <mergeCell ref="B147:E150"/>
    <mergeCell ref="B151:E154"/>
    <mergeCell ref="B155:E158"/>
    <mergeCell ref="B159:E162"/>
    <mergeCell ref="B163:E166"/>
    <mergeCell ref="B167:E170"/>
    <mergeCell ref="B171:E174"/>
    <mergeCell ref="B175:E178"/>
    <mergeCell ref="B179:E182"/>
    <mergeCell ref="B183:E186"/>
    <mergeCell ref="B187:E190"/>
    <mergeCell ref="B191:E194"/>
    <mergeCell ref="B195:E198"/>
    <mergeCell ref="B199:E202"/>
    <mergeCell ref="B203:E206"/>
    <mergeCell ref="B207:E210"/>
    <mergeCell ref="B211:E214"/>
    <mergeCell ref="B215:E218"/>
    <mergeCell ref="B219:E222"/>
    <mergeCell ref="B223:E226"/>
    <mergeCell ref="B227:E230"/>
    <mergeCell ref="B231:E234"/>
    <mergeCell ref="B235:E238"/>
    <mergeCell ref="B239:E242"/>
    <mergeCell ref="B243:E246"/>
    <mergeCell ref="B247:E250"/>
    <mergeCell ref="B251:E254"/>
    <mergeCell ref="B255:E258"/>
    <mergeCell ref="B259:E262"/>
    <mergeCell ref="B263:E266"/>
    <mergeCell ref="B267:E270"/>
    <mergeCell ref="B271:E274"/>
    <mergeCell ref="B275:E278"/>
    <mergeCell ref="B279:E282"/>
    <mergeCell ref="B283:E286"/>
    <mergeCell ref="B287:E290"/>
    <mergeCell ref="B291:E294"/>
    <mergeCell ref="B295:E298"/>
    <mergeCell ref="B299:E302"/>
    <mergeCell ref="B303:E306"/>
    <mergeCell ref="B307:E310"/>
    <mergeCell ref="B311:E314"/>
    <mergeCell ref="B315:E318"/>
    <mergeCell ref="B319:E322"/>
    <mergeCell ref="B323:E326"/>
    <mergeCell ref="B327:E330"/>
    <mergeCell ref="B331:E334"/>
    <mergeCell ref="B335:E338"/>
    <mergeCell ref="B339:E342"/>
    <mergeCell ref="B343:E346"/>
    <mergeCell ref="B347:E350"/>
    <mergeCell ref="B351:E354"/>
    <mergeCell ref="B355:E358"/>
    <mergeCell ref="B359:E362"/>
    <mergeCell ref="B363:E366"/>
    <mergeCell ref="B367:E370"/>
    <mergeCell ref="B371:E374"/>
    <mergeCell ref="B375:E378"/>
    <mergeCell ref="B379:E382"/>
    <mergeCell ref="B383:E386"/>
    <mergeCell ref="B387:E390"/>
    <mergeCell ref="B391:E394"/>
    <mergeCell ref="B395:E398"/>
    <mergeCell ref="B399:E402"/>
    <mergeCell ref="F7:K10"/>
    <mergeCell ref="F11:K14"/>
    <mergeCell ref="F15:K18"/>
    <mergeCell ref="F19:K22"/>
    <mergeCell ref="F23:K26"/>
    <mergeCell ref="F27:K30"/>
    <mergeCell ref="F31:K34"/>
    <mergeCell ref="F35:K38"/>
    <mergeCell ref="F39:K42"/>
    <mergeCell ref="F43:K46"/>
    <mergeCell ref="F47:K50"/>
    <mergeCell ref="F51:K54"/>
    <mergeCell ref="F55:K58"/>
    <mergeCell ref="F59:K62"/>
    <mergeCell ref="F63:K66"/>
    <mergeCell ref="F67:K70"/>
    <mergeCell ref="F71:K74"/>
    <mergeCell ref="F75:K78"/>
    <mergeCell ref="F79:K82"/>
    <mergeCell ref="F83:K86"/>
    <mergeCell ref="F87:K90"/>
    <mergeCell ref="F91:K94"/>
    <mergeCell ref="F95:K98"/>
    <mergeCell ref="F99:K102"/>
    <mergeCell ref="F103:K106"/>
    <mergeCell ref="F107:K110"/>
    <mergeCell ref="F111:K114"/>
    <mergeCell ref="F115:K118"/>
    <mergeCell ref="F119:K122"/>
    <mergeCell ref="F123:K126"/>
    <mergeCell ref="F127:K130"/>
    <mergeCell ref="F131:K134"/>
    <mergeCell ref="F135:K138"/>
    <mergeCell ref="F139:K142"/>
    <mergeCell ref="F143:K146"/>
    <mergeCell ref="F147:K150"/>
    <mergeCell ref="F151:K154"/>
    <mergeCell ref="F155:K158"/>
    <mergeCell ref="F159:K162"/>
    <mergeCell ref="F163:K166"/>
    <mergeCell ref="F167:K170"/>
    <mergeCell ref="F171:K174"/>
    <mergeCell ref="F175:K178"/>
    <mergeCell ref="F179:K182"/>
    <mergeCell ref="F183:K186"/>
    <mergeCell ref="F187:K190"/>
    <mergeCell ref="F191:K194"/>
    <mergeCell ref="F195:K198"/>
    <mergeCell ref="F199:K202"/>
    <mergeCell ref="F203:K206"/>
    <mergeCell ref="F207:K210"/>
    <mergeCell ref="F211:K214"/>
    <mergeCell ref="F215:K218"/>
    <mergeCell ref="F219:K222"/>
    <mergeCell ref="F223:K226"/>
    <mergeCell ref="F227:K230"/>
    <mergeCell ref="F231:K234"/>
    <mergeCell ref="F235:K238"/>
    <mergeCell ref="F239:K242"/>
    <mergeCell ref="F243:K246"/>
    <mergeCell ref="F247:K250"/>
    <mergeCell ref="F251:K254"/>
    <mergeCell ref="F255:K258"/>
    <mergeCell ref="F259:K262"/>
    <mergeCell ref="F263:K266"/>
    <mergeCell ref="F267:K270"/>
    <mergeCell ref="F271:K274"/>
    <mergeCell ref="F275:K278"/>
    <mergeCell ref="F279:K282"/>
    <mergeCell ref="F283:K286"/>
    <mergeCell ref="F287:K290"/>
    <mergeCell ref="F291:K294"/>
    <mergeCell ref="F295:K298"/>
    <mergeCell ref="F299:K302"/>
    <mergeCell ref="F303:K306"/>
    <mergeCell ref="F307:K310"/>
    <mergeCell ref="F311:K314"/>
    <mergeCell ref="F315:K318"/>
    <mergeCell ref="F319:K322"/>
    <mergeCell ref="F323:K326"/>
    <mergeCell ref="F327:K330"/>
    <mergeCell ref="F331:K334"/>
    <mergeCell ref="F335:K338"/>
    <mergeCell ref="F339:K342"/>
    <mergeCell ref="F343:K346"/>
    <mergeCell ref="F347:K350"/>
    <mergeCell ref="F351:K354"/>
    <mergeCell ref="F355:K358"/>
    <mergeCell ref="F359:K362"/>
    <mergeCell ref="F363:K366"/>
    <mergeCell ref="F367:K370"/>
    <mergeCell ref="F371:K374"/>
    <mergeCell ref="F375:K378"/>
    <mergeCell ref="F379:K382"/>
    <mergeCell ref="F383:K386"/>
    <mergeCell ref="F387:K390"/>
    <mergeCell ref="F391:K394"/>
    <mergeCell ref="F395:K398"/>
    <mergeCell ref="F399:K402"/>
    <mergeCell ref="T3:AA6"/>
    <mergeCell ref="T7:AA10"/>
    <mergeCell ref="T11:AA14"/>
    <mergeCell ref="T15:AA18"/>
    <mergeCell ref="T19:AA22"/>
    <mergeCell ref="T23:AA26"/>
    <mergeCell ref="T27:AA30"/>
    <mergeCell ref="T31:AA34"/>
    <mergeCell ref="T35:AA38"/>
    <mergeCell ref="T39:AA42"/>
    <mergeCell ref="T43:AA46"/>
    <mergeCell ref="T47:AA50"/>
    <mergeCell ref="T51:AA54"/>
    <mergeCell ref="T55:AA58"/>
    <mergeCell ref="T59:AA62"/>
    <mergeCell ref="T63:AA66"/>
    <mergeCell ref="T67:AA70"/>
    <mergeCell ref="T71:AA74"/>
    <mergeCell ref="T75:AA78"/>
    <mergeCell ref="T79:AA82"/>
    <mergeCell ref="T83:AA86"/>
    <mergeCell ref="T87:AA90"/>
    <mergeCell ref="T91:AA94"/>
    <mergeCell ref="T95:AA98"/>
    <mergeCell ref="T99:AA102"/>
    <mergeCell ref="T103:AA106"/>
    <mergeCell ref="T107:AA110"/>
    <mergeCell ref="T111:AA114"/>
    <mergeCell ref="T115:AA118"/>
    <mergeCell ref="T119:AA122"/>
    <mergeCell ref="T123:AA126"/>
    <mergeCell ref="T127:AA130"/>
    <mergeCell ref="T131:AA134"/>
    <mergeCell ref="T135:AA138"/>
    <mergeCell ref="T139:AA142"/>
    <mergeCell ref="T143:AA146"/>
    <mergeCell ref="T147:AA150"/>
    <mergeCell ref="T151:AA154"/>
    <mergeCell ref="T155:AA158"/>
    <mergeCell ref="T159:AA162"/>
    <mergeCell ref="T163:AA166"/>
    <mergeCell ref="T167:AA170"/>
    <mergeCell ref="T171:AA174"/>
    <mergeCell ref="T175:AA178"/>
    <mergeCell ref="T179:AA182"/>
    <mergeCell ref="T183:AA186"/>
    <mergeCell ref="T187:AA190"/>
    <mergeCell ref="T191:AA194"/>
    <mergeCell ref="T195:AA198"/>
    <mergeCell ref="T199:AA202"/>
    <mergeCell ref="T203:AA206"/>
    <mergeCell ref="T207:AA210"/>
    <mergeCell ref="T211:AA214"/>
    <mergeCell ref="T215:AA218"/>
    <mergeCell ref="T219:AA222"/>
    <mergeCell ref="T223:AA226"/>
    <mergeCell ref="T227:AA230"/>
    <mergeCell ref="T231:AA234"/>
    <mergeCell ref="T235:AA238"/>
    <mergeCell ref="T239:AA242"/>
    <mergeCell ref="T243:AA246"/>
    <mergeCell ref="T247:AA250"/>
    <mergeCell ref="T251:AA254"/>
    <mergeCell ref="T255:AA258"/>
    <mergeCell ref="T259:AA262"/>
    <mergeCell ref="T263:AA266"/>
    <mergeCell ref="T267:AA270"/>
    <mergeCell ref="T271:AA274"/>
    <mergeCell ref="T275:AA278"/>
    <mergeCell ref="T279:AA282"/>
    <mergeCell ref="T283:AA286"/>
    <mergeCell ref="T287:AA290"/>
    <mergeCell ref="T291:AA294"/>
    <mergeCell ref="T295:AA298"/>
    <mergeCell ref="T299:AA302"/>
    <mergeCell ref="T303:AA306"/>
    <mergeCell ref="T307:AA310"/>
    <mergeCell ref="T311:AA314"/>
    <mergeCell ref="T315:AA318"/>
    <mergeCell ref="T319:AA322"/>
    <mergeCell ref="T323:AA326"/>
    <mergeCell ref="T327:AA330"/>
    <mergeCell ref="T331:AA334"/>
    <mergeCell ref="T335:AA338"/>
    <mergeCell ref="T339:AA342"/>
    <mergeCell ref="T343:AA346"/>
    <mergeCell ref="T347:AA350"/>
    <mergeCell ref="T351:AA354"/>
    <mergeCell ref="T355:AA358"/>
    <mergeCell ref="T359:AA362"/>
    <mergeCell ref="T363:AA366"/>
    <mergeCell ref="T367:AA370"/>
    <mergeCell ref="T371:AA374"/>
    <mergeCell ref="T375:AA378"/>
    <mergeCell ref="T379:AA382"/>
    <mergeCell ref="T383:AA386"/>
    <mergeCell ref="T387:AA390"/>
    <mergeCell ref="T391:AA394"/>
    <mergeCell ref="T395:AA398"/>
    <mergeCell ref="T399:AA40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T382"/>
  <sheetViews>
    <sheetView workbookViewId="0">
      <selection activeCell="B23" sqref="B23:M40"/>
    </sheetView>
  </sheetViews>
  <sheetFormatPr defaultColWidth="4.775" defaultRowHeight="16" customHeight="1"/>
  <cols>
    <col min="1" max="16384" width="4.775" style="20" customWidth="1"/>
  </cols>
  <sheetData>
    <row r="2" customHeight="1" spans="2:46">
      <c r="B2" s="21" t="s">
        <v>331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8"/>
      <c r="O2" s="29" t="s">
        <v>332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5"/>
    </row>
    <row r="3" customHeight="1" spans="2:46">
      <c r="B3" s="23"/>
      <c r="C3" s="24"/>
      <c r="D3" s="24" t="s">
        <v>333</v>
      </c>
      <c r="E3" s="24"/>
      <c r="F3" s="24" t="s">
        <v>238</v>
      </c>
      <c r="G3" s="24"/>
      <c r="H3" s="24"/>
      <c r="I3" s="24"/>
      <c r="J3" s="24"/>
      <c r="K3" s="24"/>
      <c r="L3" s="24"/>
      <c r="M3" s="31"/>
      <c r="O3" s="27" t="s">
        <v>334</v>
      </c>
      <c r="P3" s="26"/>
      <c r="Q3" s="26" t="s">
        <v>335</v>
      </c>
      <c r="R3" s="26"/>
      <c r="S3" s="26" t="s">
        <v>319</v>
      </c>
      <c r="T3" s="26"/>
      <c r="U3" s="26"/>
      <c r="V3" s="26"/>
      <c r="W3" s="26"/>
      <c r="X3" s="26"/>
      <c r="Y3" s="26" t="s">
        <v>320</v>
      </c>
      <c r="Z3" s="26"/>
      <c r="AA3" s="26"/>
      <c r="AB3" s="26"/>
      <c r="AC3" s="26" t="s">
        <v>322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32"/>
    </row>
    <row r="4" customHeight="1" spans="2:46">
      <c r="B4" s="25" t="s">
        <v>336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32"/>
      <c r="O4" s="33" t="s">
        <v>337</v>
      </c>
      <c r="AC4" s="34" t="s">
        <v>338</v>
      </c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6"/>
    </row>
    <row r="5" customHeight="1" spans="2:46"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32"/>
      <c r="O5" s="33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6"/>
    </row>
    <row r="6" customHeight="1" spans="2:46">
      <c r="B6" s="27"/>
      <c r="C6" s="26"/>
      <c r="D6" s="26"/>
      <c r="E6" s="26"/>
      <c r="F6" s="26"/>
      <c r="G6" s="26"/>
      <c r="H6" s="26"/>
      <c r="I6" s="26"/>
      <c r="J6" s="26"/>
      <c r="K6" s="26"/>
      <c r="L6" s="26"/>
      <c r="M6" s="32"/>
      <c r="O6" s="33" t="s">
        <v>339</v>
      </c>
      <c r="S6" s="20">
        <f>S4-S8</f>
        <v>0</v>
      </c>
      <c r="Y6" s="20">
        <f>Y4-Y8</f>
        <v>0</v>
      </c>
      <c r="AT6" s="37"/>
    </row>
    <row r="7" customHeight="1" spans="2:46">
      <c r="B7" s="27"/>
      <c r="C7" s="26"/>
      <c r="D7" s="26"/>
      <c r="E7" s="26"/>
      <c r="F7" s="26"/>
      <c r="G7" s="26"/>
      <c r="H7" s="26"/>
      <c r="I7" s="26"/>
      <c r="J7" s="26"/>
      <c r="K7" s="26"/>
      <c r="L7" s="26"/>
      <c r="M7" s="32"/>
      <c r="O7" s="33"/>
      <c r="AT7" s="37"/>
    </row>
    <row r="8" customHeight="1" spans="2:46">
      <c r="B8" s="27"/>
      <c r="C8" s="26"/>
      <c r="D8" s="26"/>
      <c r="E8" s="26"/>
      <c r="F8" s="26"/>
      <c r="G8" s="26"/>
      <c r="H8" s="26"/>
      <c r="I8" s="26"/>
      <c r="J8" s="26"/>
      <c r="K8" s="26"/>
      <c r="L8" s="26"/>
      <c r="M8" s="32"/>
      <c r="O8" s="33" t="s">
        <v>326</v>
      </c>
      <c r="S8" s="20">
        <f>SUMIF(Q:R,"是",S:X)</f>
        <v>0</v>
      </c>
      <c r="Y8" s="20">
        <f>SUMIF(Q:R,"是",Y:AB)</f>
        <v>0</v>
      </c>
      <c r="AT8" s="37"/>
    </row>
    <row r="9" customHeight="1" spans="2:46">
      <c r="B9" s="27"/>
      <c r="C9" s="26"/>
      <c r="D9" s="26"/>
      <c r="E9" s="26"/>
      <c r="F9" s="26"/>
      <c r="G9" s="26"/>
      <c r="H9" s="26"/>
      <c r="I9" s="26"/>
      <c r="J9" s="26"/>
      <c r="K9" s="26"/>
      <c r="L9" s="26"/>
      <c r="M9" s="32"/>
      <c r="O9" s="33"/>
      <c r="AT9" s="37"/>
    </row>
    <row r="10" customHeight="1" spans="2:46">
      <c r="B10" s="27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32"/>
      <c r="O10" s="33"/>
      <c r="Q10" s="20" t="s">
        <v>340</v>
      </c>
      <c r="AT10" s="37"/>
    </row>
    <row r="11" customHeight="1" spans="2:46">
      <c r="B11" s="27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2"/>
      <c r="O11" s="33"/>
      <c r="AT11" s="37"/>
    </row>
    <row r="12" customHeight="1" spans="2:46"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32"/>
      <c r="O12" s="33"/>
      <c r="AT12" s="37"/>
    </row>
    <row r="13" customHeight="1" spans="2:46">
      <c r="B13" s="27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2"/>
      <c r="O13" s="33"/>
      <c r="Q13" s="20" t="s">
        <v>340</v>
      </c>
      <c r="AT13" s="37"/>
    </row>
    <row r="14" customHeight="1" spans="2:46"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32"/>
      <c r="O14" s="33"/>
      <c r="AT14" s="37"/>
    </row>
    <row r="15" customHeight="1" spans="2:46">
      <c r="B15" s="2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2"/>
      <c r="O15" s="33"/>
      <c r="AT15" s="37"/>
    </row>
    <row r="16" customHeight="1" spans="2:46">
      <c r="B16" s="2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32"/>
      <c r="O16" s="33"/>
      <c r="Q16" s="20" t="s">
        <v>340</v>
      </c>
      <c r="AT16" s="37"/>
    </row>
    <row r="17" customHeight="1" spans="2:46">
      <c r="B17" s="27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32"/>
      <c r="O17" s="33"/>
      <c r="AT17" s="37"/>
    </row>
    <row r="18" customHeight="1" spans="2:46">
      <c r="B18" s="27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2"/>
      <c r="O18" s="33"/>
      <c r="AT18" s="37"/>
    </row>
    <row r="19" customHeight="1" spans="2:46"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2"/>
      <c r="O19" s="33"/>
      <c r="Q19" s="20" t="s">
        <v>340</v>
      </c>
      <c r="AT19" s="37"/>
    </row>
    <row r="20" customHeight="1" spans="2:46">
      <c r="B20" s="2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2"/>
      <c r="O20" s="33"/>
      <c r="AT20" s="37"/>
    </row>
    <row r="21" customHeight="1" spans="2:46">
      <c r="B21" s="27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32"/>
      <c r="O21" s="33"/>
      <c r="AT21" s="37"/>
    </row>
    <row r="22" customHeight="1" spans="2:46">
      <c r="B22" s="23"/>
      <c r="C22" s="24"/>
      <c r="D22" s="24" t="s">
        <v>333</v>
      </c>
      <c r="E22" s="24"/>
      <c r="F22" s="24"/>
      <c r="G22" s="24"/>
      <c r="H22" s="24"/>
      <c r="I22" s="24"/>
      <c r="J22" s="24"/>
      <c r="K22" s="24"/>
      <c r="L22" s="24"/>
      <c r="M22" s="31"/>
      <c r="O22" s="33"/>
      <c r="Q22" s="20" t="s">
        <v>340</v>
      </c>
      <c r="AT22" s="37"/>
    </row>
    <row r="23" customHeight="1" spans="2:46">
      <c r="B23" s="25" t="s">
        <v>341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2"/>
      <c r="O23" s="33"/>
      <c r="AT23" s="37"/>
    </row>
    <row r="24" customHeight="1" spans="2:46">
      <c r="B24" s="2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2"/>
      <c r="O24" s="33"/>
      <c r="AT24" s="37"/>
    </row>
    <row r="25" customHeight="1" spans="2:46">
      <c r="B25" s="27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2"/>
      <c r="O25" s="33"/>
      <c r="Q25" s="20" t="s">
        <v>340</v>
      </c>
      <c r="AT25" s="37"/>
    </row>
    <row r="26" customHeight="1" spans="2:46">
      <c r="B26" s="2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2"/>
      <c r="O26" s="33"/>
      <c r="AT26" s="37"/>
    </row>
    <row r="27" customHeight="1" spans="2:46"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2"/>
      <c r="O27" s="33"/>
      <c r="AT27" s="37"/>
    </row>
    <row r="28" customHeight="1" spans="2:46">
      <c r="B28" s="27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2"/>
      <c r="O28" s="33"/>
      <c r="Q28" s="20" t="s">
        <v>340</v>
      </c>
      <c r="AT28" s="37"/>
    </row>
    <row r="29" customHeight="1" spans="2:46"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2"/>
      <c r="O29" s="33"/>
      <c r="AT29" s="37"/>
    </row>
    <row r="30" customHeight="1" spans="2:46">
      <c r="B30" s="27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2"/>
      <c r="O30" s="33"/>
      <c r="AT30" s="37"/>
    </row>
    <row r="31" customHeight="1" spans="2:46"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2"/>
      <c r="O31" s="33"/>
      <c r="Q31" s="20" t="s">
        <v>340</v>
      </c>
      <c r="AT31" s="37"/>
    </row>
    <row r="32" customHeight="1" spans="2:46"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32"/>
      <c r="O32" s="33"/>
      <c r="AT32" s="37"/>
    </row>
    <row r="33" customHeight="1" spans="2:46"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2"/>
      <c r="O33" s="33"/>
      <c r="AT33" s="37"/>
    </row>
    <row r="34" customHeight="1" spans="2:46">
      <c r="B34" s="2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2"/>
      <c r="O34" s="33"/>
      <c r="Q34" s="20" t="s">
        <v>340</v>
      </c>
      <c r="AT34" s="37"/>
    </row>
    <row r="35" customHeight="1" spans="2:46"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32"/>
      <c r="O35" s="33"/>
      <c r="AT35" s="37"/>
    </row>
    <row r="36" customHeight="1" spans="2:46"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32"/>
      <c r="O36" s="33"/>
      <c r="AT36" s="37"/>
    </row>
    <row r="37" customHeight="1" spans="2:46"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32"/>
      <c r="O37" s="33"/>
      <c r="Q37" s="20" t="s">
        <v>340</v>
      </c>
      <c r="AT37" s="37"/>
    </row>
    <row r="38" customHeight="1" spans="2:46">
      <c r="B38" s="2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32"/>
      <c r="O38" s="33"/>
      <c r="AT38" s="37"/>
    </row>
    <row r="39" customHeight="1" spans="2:46"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32"/>
      <c r="O39" s="33"/>
      <c r="AT39" s="37"/>
    </row>
    <row r="40" customHeight="1" spans="2:46"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2"/>
      <c r="O40" s="33"/>
      <c r="Q40" s="20" t="s">
        <v>340</v>
      </c>
      <c r="AT40" s="37"/>
    </row>
    <row r="41" customHeight="1" spans="2:46">
      <c r="B41" s="23"/>
      <c r="C41" s="24"/>
      <c r="D41" s="24" t="s">
        <v>333</v>
      </c>
      <c r="E41" s="24"/>
      <c r="F41" s="24"/>
      <c r="G41" s="24"/>
      <c r="H41" s="24"/>
      <c r="I41" s="24"/>
      <c r="J41" s="24"/>
      <c r="K41" s="24"/>
      <c r="L41" s="24"/>
      <c r="M41" s="31"/>
      <c r="O41" s="33"/>
      <c r="AT41" s="37"/>
    </row>
    <row r="42" customHeight="1" spans="2:46">
      <c r="B42" s="27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32"/>
      <c r="O42" s="33"/>
      <c r="AT42" s="37"/>
    </row>
    <row r="43" customHeight="1" spans="2:46"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32"/>
      <c r="O43" s="33"/>
      <c r="Q43" s="20" t="s">
        <v>340</v>
      </c>
      <c r="AT43" s="37"/>
    </row>
    <row r="44" customHeight="1" spans="2:46">
      <c r="B44" s="27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32"/>
      <c r="O44" s="33"/>
      <c r="AT44" s="37"/>
    </row>
    <row r="45" customHeight="1" spans="2:46"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32"/>
      <c r="O45" s="33"/>
      <c r="AT45" s="37"/>
    </row>
    <row r="46" customHeight="1" spans="2:46">
      <c r="B46" s="27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32"/>
      <c r="O46" s="33"/>
      <c r="Q46" s="20" t="s">
        <v>340</v>
      </c>
      <c r="AT46" s="37"/>
    </row>
    <row r="47" customHeight="1" spans="2:46"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32"/>
      <c r="O47" s="33"/>
      <c r="AT47" s="37"/>
    </row>
    <row r="48" customHeight="1" spans="2:46">
      <c r="B48" s="27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32"/>
      <c r="O48" s="33"/>
      <c r="AT48" s="37"/>
    </row>
    <row r="49" customHeight="1" spans="2:46">
      <c r="B49" s="2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32"/>
      <c r="O49" s="33"/>
      <c r="Q49" s="20" t="s">
        <v>340</v>
      </c>
      <c r="AT49" s="37"/>
    </row>
    <row r="50" customHeight="1" spans="2:46"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32"/>
      <c r="O50" s="33"/>
      <c r="AT50" s="37"/>
    </row>
    <row r="51" customHeight="1" spans="2:46"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32"/>
      <c r="O51" s="33"/>
      <c r="AT51" s="37"/>
    </row>
    <row r="52" customHeight="1" spans="2:46">
      <c r="B52" s="27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32"/>
      <c r="O52" s="33"/>
      <c r="Q52" s="20" t="s">
        <v>340</v>
      </c>
      <c r="AT52" s="37"/>
    </row>
    <row r="53" customHeight="1" spans="2:46">
      <c r="B53" s="27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32"/>
      <c r="O53" s="33"/>
      <c r="AT53" s="37"/>
    </row>
    <row r="54" customHeight="1" spans="2:46"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32"/>
      <c r="O54" s="33"/>
      <c r="AT54" s="37"/>
    </row>
    <row r="55" customHeight="1" spans="2:46"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32"/>
      <c r="O55" s="33"/>
      <c r="Q55" s="20" t="s">
        <v>340</v>
      </c>
      <c r="AT55" s="37"/>
    </row>
    <row r="56" customHeight="1" spans="2:46">
      <c r="B56" s="27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32"/>
      <c r="O56" s="33"/>
      <c r="AT56" s="37"/>
    </row>
    <row r="57" customHeight="1" spans="2:46"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32"/>
      <c r="O57" s="33"/>
      <c r="AT57" s="37"/>
    </row>
    <row r="58" customHeight="1" spans="2:46">
      <c r="B58" s="27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32"/>
      <c r="O58" s="33"/>
      <c r="Q58" s="20" t="s">
        <v>340</v>
      </c>
      <c r="AT58" s="37"/>
    </row>
    <row r="59" customHeight="1" spans="2:46"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32"/>
      <c r="O59" s="33"/>
      <c r="AT59" s="37"/>
    </row>
    <row r="60" customHeight="1" spans="2:46">
      <c r="B60" s="23"/>
      <c r="C60" s="24"/>
      <c r="D60" s="24" t="s">
        <v>333</v>
      </c>
      <c r="E60" s="24"/>
      <c r="F60" s="24"/>
      <c r="G60" s="24"/>
      <c r="H60" s="24"/>
      <c r="I60" s="24"/>
      <c r="J60" s="24"/>
      <c r="K60" s="24"/>
      <c r="L60" s="24"/>
      <c r="M60" s="31"/>
      <c r="O60" s="33"/>
      <c r="AT60" s="37"/>
    </row>
    <row r="61" customHeight="1" spans="2:46"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32"/>
      <c r="O61" s="33"/>
      <c r="Q61" s="20" t="s">
        <v>340</v>
      </c>
      <c r="AT61" s="37"/>
    </row>
    <row r="62" customHeight="1" spans="2:46"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32"/>
      <c r="O62" s="33"/>
      <c r="AT62" s="37"/>
    </row>
    <row r="63" customHeight="1" spans="2:46"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32"/>
      <c r="O63" s="33"/>
      <c r="AT63" s="37"/>
    </row>
    <row r="64" customHeight="1" spans="2:46">
      <c r="B64" s="27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32"/>
      <c r="O64" s="33"/>
      <c r="Q64" s="20" t="s">
        <v>340</v>
      </c>
      <c r="AT64" s="37"/>
    </row>
    <row r="65" customHeight="1" spans="2:46"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32"/>
      <c r="O65" s="33"/>
      <c r="AT65" s="37"/>
    </row>
    <row r="66" customHeight="1" spans="2:46"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32"/>
      <c r="O66" s="33"/>
      <c r="AT66" s="37"/>
    </row>
    <row r="67" customHeight="1" spans="2:46">
      <c r="B67" s="2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32"/>
      <c r="O67" s="33"/>
      <c r="Q67" s="20" t="s">
        <v>340</v>
      </c>
      <c r="AT67" s="37"/>
    </row>
    <row r="68" customHeight="1" spans="2:46">
      <c r="B68" s="27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32"/>
      <c r="O68" s="33"/>
      <c r="AT68" s="37"/>
    </row>
    <row r="69" customHeight="1" spans="2:46">
      <c r="B69" s="2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32"/>
      <c r="O69" s="33"/>
      <c r="AT69" s="37"/>
    </row>
    <row r="70" customHeight="1" spans="2:46">
      <c r="B70" s="27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32"/>
      <c r="O70" s="33"/>
      <c r="Q70" s="20" t="s">
        <v>340</v>
      </c>
      <c r="AT70" s="37"/>
    </row>
    <row r="71" customHeight="1" spans="2:46">
      <c r="B71" s="2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32"/>
      <c r="O71" s="33"/>
      <c r="AT71" s="37"/>
    </row>
    <row r="72" customHeight="1" spans="2:46">
      <c r="B72" s="2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32"/>
      <c r="O72" s="33"/>
      <c r="AT72" s="37"/>
    </row>
    <row r="73" customHeight="1" spans="2:46">
      <c r="B73" s="2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32"/>
      <c r="O73" s="33"/>
      <c r="Q73" s="20" t="s">
        <v>340</v>
      </c>
      <c r="AT73" s="37"/>
    </row>
    <row r="74" customHeight="1" spans="2:46">
      <c r="B74" s="27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32"/>
      <c r="O74" s="33"/>
      <c r="AT74" s="37"/>
    </row>
    <row r="75" customHeight="1" spans="2:46">
      <c r="B75" s="2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32"/>
      <c r="O75" s="33"/>
      <c r="AT75" s="37"/>
    </row>
    <row r="76" customHeight="1" spans="2:46">
      <c r="B76" s="2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32"/>
      <c r="O76" s="33"/>
      <c r="Q76" s="20" t="s">
        <v>340</v>
      </c>
      <c r="AT76" s="37"/>
    </row>
    <row r="77" customHeight="1" spans="2:46">
      <c r="B77" s="27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32"/>
      <c r="O77" s="33"/>
      <c r="AT77" s="37"/>
    </row>
    <row r="78" customHeight="1" spans="2:46">
      <c r="B78" s="27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32"/>
      <c r="O78" s="33"/>
      <c r="AT78" s="37"/>
    </row>
    <row r="79" customHeight="1" spans="2:46">
      <c r="B79" s="23"/>
      <c r="C79" s="24"/>
      <c r="D79" s="24" t="s">
        <v>333</v>
      </c>
      <c r="E79" s="24"/>
      <c r="F79" s="24"/>
      <c r="G79" s="24"/>
      <c r="H79" s="24"/>
      <c r="I79" s="24"/>
      <c r="J79" s="24"/>
      <c r="K79" s="24"/>
      <c r="L79" s="24"/>
      <c r="M79" s="31"/>
      <c r="O79" s="33"/>
      <c r="Q79" s="20" t="s">
        <v>340</v>
      </c>
      <c r="AT79" s="37"/>
    </row>
    <row r="80" customHeight="1" spans="2:46">
      <c r="B80" s="27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32"/>
      <c r="O80" s="33"/>
      <c r="AT80" s="37"/>
    </row>
    <row r="81" customHeight="1" spans="2:46">
      <c r="B81" s="27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32"/>
      <c r="O81" s="33"/>
      <c r="AT81" s="37"/>
    </row>
    <row r="82" customHeight="1" spans="2:46">
      <c r="B82" s="2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32"/>
      <c r="O82" s="33"/>
      <c r="Q82" s="20" t="s">
        <v>340</v>
      </c>
      <c r="AT82" s="37"/>
    </row>
    <row r="83" customHeight="1" spans="2:46">
      <c r="B83" s="27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32"/>
      <c r="O83" s="33"/>
      <c r="AT83" s="37"/>
    </row>
    <row r="84" customHeight="1" spans="2:46">
      <c r="B84" s="27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32"/>
      <c r="O84" s="33"/>
      <c r="AT84" s="37"/>
    </row>
    <row r="85" customHeight="1" spans="2:46">
      <c r="B85" s="27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32"/>
      <c r="O85" s="33"/>
      <c r="Q85" s="20" t="s">
        <v>340</v>
      </c>
      <c r="AT85" s="37"/>
    </row>
    <row r="86" customHeight="1" spans="2:46">
      <c r="B86" s="27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32"/>
      <c r="O86" s="33"/>
      <c r="AT86" s="37"/>
    </row>
    <row r="87" customHeight="1" spans="2:46">
      <c r="B87" s="27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32"/>
      <c r="O87" s="33"/>
      <c r="AT87" s="37"/>
    </row>
    <row r="88" customHeight="1" spans="2:46">
      <c r="B88" s="27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32"/>
      <c r="O88" s="33"/>
      <c r="Q88" s="20" t="s">
        <v>340</v>
      </c>
      <c r="AT88" s="37"/>
    </row>
    <row r="89" customHeight="1" spans="2:46">
      <c r="B89" s="27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32"/>
      <c r="O89" s="33"/>
      <c r="AT89" s="37"/>
    </row>
    <row r="90" customHeight="1" spans="2:46">
      <c r="B90" s="27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32"/>
      <c r="O90" s="33"/>
      <c r="AT90" s="37"/>
    </row>
    <row r="91" customHeight="1" spans="2:46">
      <c r="B91" s="27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32"/>
      <c r="O91" s="33"/>
      <c r="Q91" s="20" t="s">
        <v>340</v>
      </c>
      <c r="AT91" s="37"/>
    </row>
    <row r="92" customHeight="1" spans="2:46">
      <c r="B92" s="27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32"/>
      <c r="O92" s="33"/>
      <c r="AT92" s="37"/>
    </row>
    <row r="93" customHeight="1" spans="2:46">
      <c r="B93" s="27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32"/>
      <c r="O93" s="33"/>
      <c r="AT93" s="37"/>
    </row>
    <row r="94" customHeight="1" spans="2:46">
      <c r="B94" s="27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32"/>
      <c r="O94" s="33"/>
      <c r="Q94" s="20" t="s">
        <v>340</v>
      </c>
      <c r="AT94" s="37"/>
    </row>
    <row r="95" customHeight="1" spans="2:46">
      <c r="B95" s="27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32"/>
      <c r="O95" s="33"/>
      <c r="AT95" s="37"/>
    </row>
    <row r="96" customHeight="1" spans="2:46">
      <c r="B96" s="27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32"/>
      <c r="O96" s="33"/>
      <c r="AT96" s="37"/>
    </row>
    <row r="97" customHeight="1" spans="2:46">
      <c r="B97" s="27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32"/>
      <c r="O97" s="33"/>
      <c r="Q97" s="20" t="s">
        <v>340</v>
      </c>
      <c r="AT97" s="37"/>
    </row>
    <row r="98" customHeight="1" spans="2:46">
      <c r="B98" s="23"/>
      <c r="C98" s="24"/>
      <c r="D98" s="24" t="s">
        <v>333</v>
      </c>
      <c r="E98" s="24"/>
      <c r="F98" s="24"/>
      <c r="G98" s="24"/>
      <c r="H98" s="24"/>
      <c r="I98" s="24"/>
      <c r="J98" s="24"/>
      <c r="K98" s="24"/>
      <c r="L98" s="24"/>
      <c r="M98" s="31"/>
      <c r="O98" s="33"/>
      <c r="AT98" s="37"/>
    </row>
    <row r="99" customHeight="1" spans="2:46">
      <c r="B99" s="27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32"/>
      <c r="O99" s="33"/>
      <c r="AT99" s="37"/>
    </row>
    <row r="100" customHeight="1" spans="2:46">
      <c r="B100" s="27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32"/>
      <c r="O100" s="33"/>
      <c r="Q100" s="20" t="s">
        <v>340</v>
      </c>
      <c r="AT100" s="37"/>
    </row>
    <row r="101" customHeight="1" spans="2:46">
      <c r="B101" s="27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32"/>
      <c r="O101" s="33"/>
      <c r="AT101" s="37"/>
    </row>
    <row r="102" customHeight="1" spans="2:46">
      <c r="B102" s="27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32"/>
      <c r="O102" s="33"/>
      <c r="AT102" s="37"/>
    </row>
    <row r="103" customHeight="1" spans="2:46">
      <c r="B103" s="27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32"/>
      <c r="O103" s="33"/>
      <c r="Q103" s="20" t="s">
        <v>340</v>
      </c>
      <c r="AT103" s="37"/>
    </row>
    <row r="104" customHeight="1" spans="2:46">
      <c r="B104" s="27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32"/>
      <c r="O104" s="33"/>
      <c r="AT104" s="37"/>
    </row>
    <row r="105" customHeight="1" spans="2:46">
      <c r="B105" s="27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32"/>
      <c r="O105" s="33"/>
      <c r="AT105" s="37"/>
    </row>
    <row r="106" customHeight="1" spans="2:46"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32"/>
      <c r="O106" s="33"/>
      <c r="Q106" s="20" t="s">
        <v>340</v>
      </c>
      <c r="AT106" s="37"/>
    </row>
    <row r="107" customHeight="1" spans="2:46">
      <c r="B107" s="27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32"/>
      <c r="O107" s="33"/>
      <c r="AT107" s="37"/>
    </row>
    <row r="108" customHeight="1" spans="2:46">
      <c r="B108" s="27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32"/>
      <c r="O108" s="33"/>
      <c r="AT108" s="37"/>
    </row>
    <row r="109" customHeight="1" spans="2:46">
      <c r="B109" s="27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32"/>
      <c r="O109" s="33"/>
      <c r="Q109" s="20" t="s">
        <v>340</v>
      </c>
      <c r="AT109" s="37"/>
    </row>
    <row r="110" customHeight="1" spans="2:46">
      <c r="B110" s="27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32"/>
      <c r="O110" s="33"/>
      <c r="AT110" s="37"/>
    </row>
    <row r="111" customHeight="1" spans="2:46">
      <c r="B111" s="27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32"/>
      <c r="O111" s="33"/>
      <c r="AT111" s="37"/>
    </row>
    <row r="112" customHeight="1" spans="2:46">
      <c r="B112" s="27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32"/>
      <c r="O112" s="33"/>
      <c r="Q112" s="20" t="s">
        <v>340</v>
      </c>
      <c r="AT112" s="37"/>
    </row>
    <row r="113" customHeight="1" spans="2:46">
      <c r="B113" s="27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32"/>
      <c r="O113" s="33"/>
      <c r="AT113" s="37"/>
    </row>
    <row r="114" customHeight="1" spans="2:46">
      <c r="B114" s="27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32"/>
      <c r="O114" s="33"/>
      <c r="AT114" s="37"/>
    </row>
    <row r="115" customHeight="1" spans="2:46">
      <c r="B115" s="27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32"/>
      <c r="O115" s="33"/>
      <c r="Q115" s="20" t="s">
        <v>340</v>
      </c>
      <c r="AT115" s="37"/>
    </row>
    <row r="116" customHeight="1" spans="2:46">
      <c r="B116" s="27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32"/>
      <c r="O116" s="33"/>
      <c r="AT116" s="37"/>
    </row>
    <row r="117" customHeight="1" spans="2:46">
      <c r="B117" s="23"/>
      <c r="C117" s="24"/>
      <c r="D117" s="24" t="s">
        <v>333</v>
      </c>
      <c r="E117" s="24"/>
      <c r="F117" s="24"/>
      <c r="G117" s="24"/>
      <c r="H117" s="24"/>
      <c r="I117" s="24"/>
      <c r="J117" s="24"/>
      <c r="K117" s="24"/>
      <c r="L117" s="24"/>
      <c r="M117" s="31"/>
      <c r="O117" s="33"/>
      <c r="AT117" s="37"/>
    </row>
    <row r="118" customHeight="1" spans="2:46">
      <c r="B118" s="27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32"/>
      <c r="O118" s="33"/>
      <c r="Q118" s="20" t="s">
        <v>340</v>
      </c>
      <c r="AT118" s="37"/>
    </row>
    <row r="119" customHeight="1" spans="2:46">
      <c r="B119" s="27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32"/>
      <c r="O119" s="33"/>
      <c r="AT119" s="37"/>
    </row>
    <row r="120" customHeight="1" spans="2:46">
      <c r="B120" s="27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32"/>
      <c r="O120" s="33"/>
      <c r="AT120" s="37"/>
    </row>
    <row r="121" customHeight="1" spans="2:46">
      <c r="B121" s="27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32"/>
      <c r="O121" s="33"/>
      <c r="Q121" s="20" t="s">
        <v>340</v>
      </c>
      <c r="AT121" s="37"/>
    </row>
    <row r="122" customHeight="1" spans="2:46">
      <c r="B122" s="27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32"/>
      <c r="O122" s="33"/>
      <c r="AT122" s="37"/>
    </row>
    <row r="123" customHeight="1" spans="2:46">
      <c r="B123" s="27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32"/>
      <c r="O123" s="33"/>
      <c r="AT123" s="37"/>
    </row>
    <row r="124" customHeight="1" spans="2:46">
      <c r="B124" s="27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32"/>
      <c r="O124" s="33"/>
      <c r="Q124" s="20" t="s">
        <v>340</v>
      </c>
      <c r="AT124" s="37"/>
    </row>
    <row r="125" customHeight="1" spans="2:46">
      <c r="B125" s="27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32"/>
      <c r="O125" s="33"/>
      <c r="AT125" s="37"/>
    </row>
    <row r="126" customHeight="1" spans="2:46">
      <c r="B126" s="27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32"/>
      <c r="O126" s="33"/>
      <c r="AT126" s="37"/>
    </row>
    <row r="127" customHeight="1" spans="2:46">
      <c r="B127" s="27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32"/>
      <c r="O127" s="33"/>
      <c r="Q127" s="20" t="s">
        <v>340</v>
      </c>
      <c r="AT127" s="37"/>
    </row>
    <row r="128" customHeight="1" spans="2:46">
      <c r="B128" s="27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32"/>
      <c r="O128" s="33"/>
      <c r="AT128" s="37"/>
    </row>
    <row r="129" customHeight="1" spans="2:46">
      <c r="B129" s="27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32"/>
      <c r="O129" s="33"/>
      <c r="AT129" s="37"/>
    </row>
    <row r="130" customHeight="1" spans="2:46">
      <c r="B130" s="27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32"/>
      <c r="O130" s="33"/>
      <c r="Q130" s="20" t="s">
        <v>340</v>
      </c>
      <c r="AT130" s="37"/>
    </row>
    <row r="131" customHeight="1" spans="2:46">
      <c r="B131" s="27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32"/>
      <c r="O131" s="33"/>
      <c r="AT131" s="37"/>
    </row>
    <row r="132" customHeight="1" spans="2:46">
      <c r="B132" s="27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32"/>
      <c r="O132" s="33"/>
      <c r="AT132" s="37"/>
    </row>
    <row r="133" customHeight="1" spans="2:46">
      <c r="B133" s="27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32"/>
      <c r="O133" s="33"/>
      <c r="Q133" s="20" t="s">
        <v>340</v>
      </c>
      <c r="AT133" s="37"/>
    </row>
    <row r="134" customHeight="1" spans="2:46">
      <c r="B134" s="27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32"/>
      <c r="O134" s="33"/>
      <c r="AT134" s="37"/>
    </row>
    <row r="135" customHeight="1" spans="2:46">
      <c r="B135" s="27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32"/>
      <c r="O135" s="33"/>
      <c r="AT135" s="37"/>
    </row>
    <row r="136" customHeight="1" spans="2:46">
      <c r="B136" s="23"/>
      <c r="C136" s="24"/>
      <c r="D136" s="24" t="s">
        <v>333</v>
      </c>
      <c r="E136" s="24"/>
      <c r="F136" s="24"/>
      <c r="G136" s="24"/>
      <c r="H136" s="24"/>
      <c r="I136" s="24"/>
      <c r="J136" s="24"/>
      <c r="K136" s="24"/>
      <c r="L136" s="24"/>
      <c r="M136" s="31"/>
      <c r="O136" s="33"/>
      <c r="Q136" s="20" t="s">
        <v>340</v>
      </c>
      <c r="AT136" s="37"/>
    </row>
    <row r="137" customHeight="1" spans="2:46">
      <c r="B137" s="27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32"/>
      <c r="O137" s="33"/>
      <c r="AT137" s="37"/>
    </row>
    <row r="138" customHeight="1" spans="2:46">
      <c r="B138" s="27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32"/>
      <c r="O138" s="33"/>
      <c r="AT138" s="37"/>
    </row>
    <row r="139" customHeight="1" spans="2:46">
      <c r="B139" s="27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32"/>
      <c r="O139" s="33"/>
      <c r="Q139" s="20" t="s">
        <v>340</v>
      </c>
      <c r="AT139" s="37"/>
    </row>
    <row r="140" customHeight="1" spans="2:46">
      <c r="B140" s="27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32"/>
      <c r="O140" s="33"/>
      <c r="AT140" s="37"/>
    </row>
    <row r="141" customHeight="1" spans="2:46">
      <c r="B141" s="27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32"/>
      <c r="O141" s="33"/>
      <c r="AT141" s="37"/>
    </row>
    <row r="142" customHeight="1" spans="2:46">
      <c r="B142" s="27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32"/>
      <c r="O142" s="33"/>
      <c r="Q142" s="20" t="s">
        <v>340</v>
      </c>
      <c r="AT142" s="37"/>
    </row>
    <row r="143" customHeight="1" spans="2:46">
      <c r="B143" s="27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32"/>
      <c r="O143" s="33"/>
      <c r="AT143" s="37"/>
    </row>
    <row r="144" customHeight="1" spans="2:46">
      <c r="B144" s="27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32"/>
      <c r="O144" s="33"/>
      <c r="AT144" s="37"/>
    </row>
    <row r="145" customHeight="1" spans="2:46">
      <c r="B145" s="27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32"/>
      <c r="O145" s="33"/>
      <c r="Q145" s="20" t="s">
        <v>340</v>
      </c>
      <c r="AT145" s="37"/>
    </row>
    <row r="146" customHeight="1" spans="2:46">
      <c r="B146" s="27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32"/>
      <c r="O146" s="33"/>
      <c r="AT146" s="37"/>
    </row>
    <row r="147" customHeight="1" spans="2:46">
      <c r="B147" s="27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32"/>
      <c r="O147" s="33"/>
      <c r="AT147" s="37"/>
    </row>
    <row r="148" customHeight="1" spans="2:46">
      <c r="B148" s="27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32"/>
      <c r="O148" s="33"/>
      <c r="Q148" s="20" t="s">
        <v>340</v>
      </c>
      <c r="AT148" s="37"/>
    </row>
    <row r="149" customHeight="1" spans="2:46">
      <c r="B149" s="27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32"/>
      <c r="O149" s="33"/>
      <c r="AT149" s="37"/>
    </row>
    <row r="150" customHeight="1" spans="2:46">
      <c r="B150" s="27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32"/>
      <c r="O150" s="33"/>
      <c r="AT150" s="37"/>
    </row>
    <row r="151" customHeight="1" spans="2:46">
      <c r="B151" s="27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32"/>
      <c r="O151" s="33"/>
      <c r="Q151" s="20" t="s">
        <v>340</v>
      </c>
      <c r="AT151" s="37"/>
    </row>
    <row r="152" customHeight="1" spans="2:46">
      <c r="B152" s="27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32"/>
      <c r="O152" s="33"/>
      <c r="AT152" s="37"/>
    </row>
    <row r="153" customHeight="1" spans="2:46">
      <c r="B153" s="27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32"/>
      <c r="O153" s="33"/>
      <c r="AT153" s="37"/>
    </row>
    <row r="154" customHeight="1" spans="2:46">
      <c r="B154" s="27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32"/>
      <c r="O154" s="33"/>
      <c r="Q154" s="20" t="s">
        <v>340</v>
      </c>
      <c r="AT154" s="37"/>
    </row>
    <row r="155" customHeight="1" spans="2:46">
      <c r="B155" s="23"/>
      <c r="C155" s="24"/>
      <c r="D155" s="24" t="s">
        <v>333</v>
      </c>
      <c r="E155" s="24"/>
      <c r="F155" s="24"/>
      <c r="G155" s="24"/>
      <c r="H155" s="24"/>
      <c r="I155" s="24"/>
      <c r="J155" s="24"/>
      <c r="K155" s="24"/>
      <c r="L155" s="24"/>
      <c r="M155" s="31"/>
      <c r="O155" s="33"/>
      <c r="AT155" s="37"/>
    </row>
    <row r="156" customHeight="1" spans="2:46">
      <c r="B156" s="27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32"/>
      <c r="O156" s="33"/>
      <c r="AT156" s="37"/>
    </row>
    <row r="157" customHeight="1" spans="2:46">
      <c r="B157" s="27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32"/>
      <c r="O157" s="33"/>
      <c r="Q157" s="20" t="s">
        <v>340</v>
      </c>
      <c r="AT157" s="37"/>
    </row>
    <row r="158" customHeight="1" spans="2:46">
      <c r="B158" s="27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32"/>
      <c r="O158" s="33"/>
      <c r="AT158" s="37"/>
    </row>
    <row r="159" customHeight="1" spans="2:46">
      <c r="B159" s="27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32"/>
      <c r="O159" s="38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41"/>
    </row>
    <row r="160" customHeight="1" spans="2:46">
      <c r="B160" s="27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32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</row>
    <row r="161" customHeight="1" spans="2:46">
      <c r="B161" s="27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32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</row>
    <row r="162" customHeight="1" spans="2:46">
      <c r="B162" s="27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32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</row>
    <row r="163" customHeight="1" spans="2:13">
      <c r="B163" s="27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32"/>
    </row>
    <row r="164" customHeight="1" spans="2:13">
      <c r="B164" s="27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32"/>
    </row>
    <row r="165" customHeight="1" spans="2:13">
      <c r="B165" s="27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32"/>
    </row>
    <row r="166" customHeight="1" spans="2:13">
      <c r="B166" s="27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32"/>
    </row>
    <row r="167" customHeight="1" spans="2:13">
      <c r="B167" s="27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32"/>
    </row>
    <row r="168" customHeight="1" spans="2:13">
      <c r="B168" s="27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32"/>
    </row>
    <row r="169" customHeight="1" spans="2:13">
      <c r="B169" s="27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32"/>
    </row>
    <row r="170" customHeight="1" spans="2:13">
      <c r="B170" s="27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32"/>
    </row>
    <row r="171" customHeight="1" spans="2:13">
      <c r="B171" s="27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32"/>
    </row>
    <row r="172" customHeight="1" spans="2:13">
      <c r="B172" s="27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32"/>
    </row>
    <row r="173" customHeight="1" spans="2:13">
      <c r="B173" s="27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32"/>
    </row>
    <row r="174" customHeight="1" spans="2:13">
      <c r="B174" s="23"/>
      <c r="C174" s="24"/>
      <c r="D174" s="24" t="s">
        <v>333</v>
      </c>
      <c r="E174" s="24"/>
      <c r="F174" s="24"/>
      <c r="G174" s="24"/>
      <c r="H174" s="24"/>
      <c r="I174" s="24"/>
      <c r="J174" s="24"/>
      <c r="K174" s="24"/>
      <c r="L174" s="24"/>
      <c r="M174" s="31"/>
    </row>
    <row r="175" customHeight="1" spans="2:13">
      <c r="B175" s="27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32"/>
    </row>
    <row r="176" customHeight="1" spans="2:13">
      <c r="B176" s="27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32"/>
    </row>
    <row r="177" customHeight="1" spans="2:13">
      <c r="B177" s="27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32"/>
    </row>
    <row r="178" customHeight="1" spans="2:13">
      <c r="B178" s="27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32"/>
    </row>
    <row r="179" customHeight="1" spans="2:13">
      <c r="B179" s="27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32"/>
    </row>
    <row r="180" customHeight="1" spans="2:13">
      <c r="B180" s="27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32"/>
    </row>
    <row r="181" customHeight="1" spans="2:13">
      <c r="B181" s="27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32"/>
    </row>
    <row r="182" customHeight="1" spans="2:13">
      <c r="B182" s="27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32"/>
    </row>
    <row r="183" customHeight="1" spans="2:13">
      <c r="B183" s="27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32"/>
    </row>
    <row r="184" customHeight="1" spans="2:13">
      <c r="B184" s="27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32"/>
    </row>
    <row r="185" customHeight="1" spans="2:13">
      <c r="B185" s="27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32"/>
    </row>
    <row r="186" customHeight="1" spans="2:13">
      <c r="B186" s="27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32"/>
    </row>
    <row r="187" customHeight="1" spans="2:13">
      <c r="B187" s="27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32"/>
    </row>
    <row r="188" customHeight="1" spans="2:13">
      <c r="B188" s="27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32"/>
    </row>
    <row r="189" customHeight="1" spans="2:13">
      <c r="B189" s="27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32"/>
    </row>
    <row r="190" customHeight="1" spans="2:13">
      <c r="B190" s="27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32"/>
    </row>
    <row r="191" customHeight="1" spans="2:13">
      <c r="B191" s="27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32"/>
    </row>
    <row r="192" customHeight="1" spans="2:13">
      <c r="B192" s="27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32"/>
    </row>
    <row r="193" customHeight="1" spans="2:13">
      <c r="B193" s="23"/>
      <c r="C193" s="24"/>
      <c r="D193" s="24" t="s">
        <v>333</v>
      </c>
      <c r="E193" s="24"/>
      <c r="F193" s="24"/>
      <c r="G193" s="24"/>
      <c r="H193" s="24"/>
      <c r="I193" s="24"/>
      <c r="J193" s="24"/>
      <c r="K193" s="24"/>
      <c r="L193" s="24"/>
      <c r="M193" s="31"/>
    </row>
    <row r="194" customHeight="1" spans="2:13">
      <c r="B194" s="27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32"/>
    </row>
    <row r="195" customHeight="1" spans="2:13">
      <c r="B195" s="27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32"/>
    </row>
    <row r="196" customHeight="1" spans="2:13">
      <c r="B196" s="27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32"/>
    </row>
    <row r="197" customHeight="1" spans="2:13">
      <c r="B197" s="27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32"/>
    </row>
    <row r="198" customHeight="1" spans="2:13">
      <c r="B198" s="27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32"/>
    </row>
    <row r="199" customHeight="1" spans="2:13">
      <c r="B199" s="27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32"/>
    </row>
    <row r="200" customHeight="1" spans="2:13">
      <c r="B200" s="27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32"/>
    </row>
    <row r="201" customHeight="1" spans="2:13">
      <c r="B201" s="27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32"/>
    </row>
    <row r="202" customHeight="1" spans="2:13">
      <c r="B202" s="27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32"/>
    </row>
    <row r="203" customHeight="1" spans="2:13">
      <c r="B203" s="27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32"/>
    </row>
    <row r="204" customHeight="1" spans="2:13">
      <c r="B204" s="27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32"/>
    </row>
    <row r="205" customHeight="1" spans="2:13">
      <c r="B205" s="27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32"/>
    </row>
    <row r="206" customHeight="1" spans="2:13">
      <c r="B206" s="27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32"/>
    </row>
    <row r="207" customHeight="1" spans="2:13">
      <c r="B207" s="27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32"/>
    </row>
    <row r="208" customHeight="1" spans="2:13">
      <c r="B208" s="27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32"/>
    </row>
    <row r="209" customHeight="1" spans="2:13">
      <c r="B209" s="27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32"/>
    </row>
    <row r="210" customHeight="1" spans="2:13">
      <c r="B210" s="27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32"/>
    </row>
    <row r="211" customHeight="1" spans="2:13">
      <c r="B211" s="27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32"/>
    </row>
    <row r="212" customHeight="1" spans="2:13">
      <c r="B212" s="23"/>
      <c r="C212" s="24"/>
      <c r="D212" s="24" t="s">
        <v>333</v>
      </c>
      <c r="E212" s="24"/>
      <c r="F212" s="24"/>
      <c r="G212" s="24"/>
      <c r="H212" s="24"/>
      <c r="I212" s="24"/>
      <c r="J212" s="24"/>
      <c r="K212" s="24"/>
      <c r="L212" s="24"/>
      <c r="M212" s="31"/>
    </row>
    <row r="213" customHeight="1" spans="2:13">
      <c r="B213" s="27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32"/>
    </row>
    <row r="214" customHeight="1" spans="2:13">
      <c r="B214" s="27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32"/>
    </row>
    <row r="215" customHeight="1" spans="2:13">
      <c r="B215" s="27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32"/>
    </row>
    <row r="216" customHeight="1" spans="2:13">
      <c r="B216" s="27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32"/>
    </row>
    <row r="217" customHeight="1" spans="2:13">
      <c r="B217" s="27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32"/>
    </row>
    <row r="218" customHeight="1" spans="2:13">
      <c r="B218" s="27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32"/>
    </row>
    <row r="219" customHeight="1" spans="2:13">
      <c r="B219" s="27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32"/>
    </row>
    <row r="220" customHeight="1" spans="2:13">
      <c r="B220" s="27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32"/>
    </row>
    <row r="221" customHeight="1" spans="2:13">
      <c r="B221" s="27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32"/>
    </row>
    <row r="222" customHeight="1" spans="2:13">
      <c r="B222" s="27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32"/>
    </row>
    <row r="223" customHeight="1" spans="2:13">
      <c r="B223" s="27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32"/>
    </row>
    <row r="224" customHeight="1" spans="2:13">
      <c r="B224" s="27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32"/>
    </row>
    <row r="225" customHeight="1" spans="2:13">
      <c r="B225" s="27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32"/>
    </row>
    <row r="226" customHeight="1" spans="2:13">
      <c r="B226" s="27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32"/>
    </row>
    <row r="227" customHeight="1" spans="2:13">
      <c r="B227" s="27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32"/>
    </row>
    <row r="228" customHeight="1" spans="2:13">
      <c r="B228" s="27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32"/>
    </row>
    <row r="229" customHeight="1" spans="2:13">
      <c r="B229" s="27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32"/>
    </row>
    <row r="230" customHeight="1" spans="2:13">
      <c r="B230" s="27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32"/>
    </row>
    <row r="231" customHeight="1" spans="2:13">
      <c r="B231" s="23"/>
      <c r="C231" s="24"/>
      <c r="D231" s="24" t="s">
        <v>333</v>
      </c>
      <c r="E231" s="24"/>
      <c r="F231" s="24"/>
      <c r="G231" s="24"/>
      <c r="H231" s="24"/>
      <c r="I231" s="24"/>
      <c r="J231" s="24"/>
      <c r="K231" s="24"/>
      <c r="L231" s="24"/>
      <c r="M231" s="31"/>
    </row>
    <row r="232" customHeight="1" spans="2:13">
      <c r="B232" s="27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32"/>
    </row>
    <row r="233" customHeight="1" spans="2:13">
      <c r="B233" s="27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32"/>
    </row>
    <row r="234" customHeight="1" spans="2:13">
      <c r="B234" s="27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32"/>
    </row>
    <row r="235" customHeight="1" spans="2:13">
      <c r="B235" s="27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32"/>
    </row>
    <row r="236" customHeight="1" spans="2:13">
      <c r="B236" s="27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32"/>
    </row>
    <row r="237" customHeight="1" spans="2:13">
      <c r="B237" s="27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32"/>
    </row>
    <row r="238" customHeight="1" spans="2:13">
      <c r="B238" s="27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32"/>
    </row>
    <row r="239" customHeight="1" spans="2:13">
      <c r="B239" s="27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32"/>
    </row>
    <row r="240" customHeight="1" spans="2:13">
      <c r="B240" s="27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32"/>
    </row>
    <row r="241" customHeight="1" spans="2:13">
      <c r="B241" s="27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32"/>
    </row>
    <row r="242" customHeight="1" spans="2:13">
      <c r="B242" s="27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32"/>
    </row>
    <row r="243" customHeight="1" spans="2:13">
      <c r="B243" s="27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32"/>
    </row>
    <row r="244" customHeight="1" spans="2:13">
      <c r="B244" s="27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32"/>
    </row>
    <row r="245" customHeight="1" spans="2:13">
      <c r="B245" s="27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32"/>
    </row>
    <row r="246" customHeight="1" spans="2:13">
      <c r="B246" s="27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32"/>
    </row>
    <row r="247" customHeight="1" spans="2:13">
      <c r="B247" s="27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32"/>
    </row>
    <row r="248" customHeight="1" spans="2:13">
      <c r="B248" s="27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32"/>
    </row>
    <row r="249" customHeight="1" spans="2:13">
      <c r="B249" s="27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32"/>
    </row>
    <row r="250" customHeight="1" spans="2:13">
      <c r="B250" s="23"/>
      <c r="C250" s="24"/>
      <c r="D250" s="24" t="s">
        <v>333</v>
      </c>
      <c r="E250" s="24"/>
      <c r="F250" s="24"/>
      <c r="G250" s="24"/>
      <c r="H250" s="24"/>
      <c r="I250" s="24"/>
      <c r="J250" s="24"/>
      <c r="K250" s="24"/>
      <c r="L250" s="24"/>
      <c r="M250" s="31"/>
    </row>
    <row r="251" customHeight="1" spans="2:13">
      <c r="B251" s="27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32"/>
    </row>
    <row r="252" customHeight="1" spans="2:13">
      <c r="B252" s="27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32"/>
    </row>
    <row r="253" customHeight="1" spans="2:13">
      <c r="B253" s="27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32"/>
    </row>
    <row r="254" customHeight="1" spans="2:13">
      <c r="B254" s="27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32"/>
    </row>
    <row r="255" customHeight="1" spans="2:13">
      <c r="B255" s="27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32"/>
    </row>
    <row r="256" customHeight="1" spans="2:13">
      <c r="B256" s="27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32"/>
    </row>
    <row r="257" customHeight="1" spans="2:13">
      <c r="B257" s="27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32"/>
    </row>
    <row r="258" customHeight="1" spans="2:13">
      <c r="B258" s="27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32"/>
    </row>
    <row r="259" customHeight="1" spans="2:13">
      <c r="B259" s="27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32"/>
    </row>
    <row r="260" customHeight="1" spans="2:13">
      <c r="B260" s="27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32"/>
    </row>
    <row r="261" customHeight="1" spans="2:13">
      <c r="B261" s="27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32"/>
    </row>
    <row r="262" customHeight="1" spans="2:13">
      <c r="B262" s="27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32"/>
    </row>
    <row r="263" customHeight="1" spans="2:13">
      <c r="B263" s="27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32"/>
    </row>
    <row r="264" customHeight="1" spans="2:13">
      <c r="B264" s="27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32"/>
    </row>
    <row r="265" customHeight="1" spans="2:13">
      <c r="B265" s="27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32"/>
    </row>
    <row r="266" customHeight="1" spans="2:13">
      <c r="B266" s="27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32"/>
    </row>
    <row r="267" customHeight="1" spans="2:13">
      <c r="B267" s="27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32"/>
    </row>
    <row r="268" customHeight="1" spans="2:13">
      <c r="B268" s="27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32"/>
    </row>
    <row r="269" customHeight="1" spans="2:13">
      <c r="B269" s="23"/>
      <c r="C269" s="24"/>
      <c r="D269" s="24" t="s">
        <v>333</v>
      </c>
      <c r="E269" s="24"/>
      <c r="F269" s="24"/>
      <c r="G269" s="24"/>
      <c r="H269" s="24"/>
      <c r="I269" s="24"/>
      <c r="J269" s="24"/>
      <c r="K269" s="24"/>
      <c r="L269" s="24"/>
      <c r="M269" s="31"/>
    </row>
    <row r="270" customHeight="1" spans="2:13">
      <c r="B270" s="27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32"/>
    </row>
    <row r="271" customHeight="1" spans="2:13">
      <c r="B271" s="27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32"/>
    </row>
    <row r="272" customHeight="1" spans="2:13">
      <c r="B272" s="27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32"/>
    </row>
    <row r="273" customHeight="1" spans="2:13"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32"/>
    </row>
    <row r="274" customHeight="1" spans="2:13">
      <c r="B274" s="27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32"/>
    </row>
    <row r="275" customHeight="1" spans="2:13">
      <c r="B275" s="27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32"/>
    </row>
    <row r="276" customHeight="1" spans="2:13">
      <c r="B276" s="27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32"/>
    </row>
    <row r="277" customHeight="1" spans="2:13">
      <c r="B277" s="27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32"/>
    </row>
    <row r="278" customHeight="1" spans="2:13">
      <c r="B278" s="27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32"/>
    </row>
    <row r="279" customHeight="1" spans="2:13"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32"/>
    </row>
    <row r="280" customHeight="1" spans="2:13">
      <c r="B280" s="27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32"/>
    </row>
    <row r="281" customHeight="1" spans="2:13">
      <c r="B281" s="27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32"/>
    </row>
    <row r="282" customHeight="1" spans="2:13">
      <c r="B282" s="27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32"/>
    </row>
    <row r="283" customHeight="1" spans="2:13">
      <c r="B283" s="27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32"/>
    </row>
    <row r="284" customHeight="1" spans="2:13">
      <c r="B284" s="27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32"/>
    </row>
    <row r="285" customHeight="1" spans="2:13">
      <c r="B285" s="27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32"/>
    </row>
    <row r="286" customHeight="1" spans="2:13">
      <c r="B286" s="27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32"/>
    </row>
    <row r="287" customHeight="1" spans="2:13">
      <c r="B287" s="27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32"/>
    </row>
    <row r="288" customHeight="1" spans="2:13">
      <c r="B288" s="23"/>
      <c r="C288" s="24"/>
      <c r="D288" s="24" t="s">
        <v>333</v>
      </c>
      <c r="E288" s="24"/>
      <c r="F288" s="24"/>
      <c r="G288" s="24"/>
      <c r="H288" s="24"/>
      <c r="I288" s="24"/>
      <c r="J288" s="24"/>
      <c r="K288" s="24"/>
      <c r="L288" s="24"/>
      <c r="M288" s="31"/>
    </row>
    <row r="289" customHeight="1" spans="2:13">
      <c r="B289" s="27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32"/>
    </row>
    <row r="290" customHeight="1" spans="2:13">
      <c r="B290" s="27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32"/>
    </row>
    <row r="291" customHeight="1" spans="2:13">
      <c r="B291" s="27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32"/>
    </row>
    <row r="292" customHeight="1" spans="2:13"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32"/>
    </row>
    <row r="293" customHeight="1" spans="2:13">
      <c r="B293" s="27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32"/>
    </row>
    <row r="294" customHeight="1" spans="2:13">
      <c r="B294" s="27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32"/>
    </row>
    <row r="295" customHeight="1" spans="2:13">
      <c r="B295" s="27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32"/>
    </row>
    <row r="296" customHeight="1" spans="2:13">
      <c r="B296" s="27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32"/>
    </row>
    <row r="297" customHeight="1" spans="2:13">
      <c r="B297" s="27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32"/>
    </row>
    <row r="298" customHeight="1" spans="2:13">
      <c r="B298" s="27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32"/>
    </row>
    <row r="299" customHeight="1" spans="2:13">
      <c r="B299" s="27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32"/>
    </row>
    <row r="300" customHeight="1" spans="2:13">
      <c r="B300" s="27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32"/>
    </row>
    <row r="301" customHeight="1" spans="2:13">
      <c r="B301" s="27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32"/>
    </row>
    <row r="302" customHeight="1" spans="2:13">
      <c r="B302" s="27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32"/>
    </row>
    <row r="303" customHeight="1" spans="2:13">
      <c r="B303" s="27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32"/>
    </row>
    <row r="304" customHeight="1" spans="2:13">
      <c r="B304" s="27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32"/>
    </row>
    <row r="305" customHeight="1" spans="2:13">
      <c r="B305" s="27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32"/>
    </row>
    <row r="306" customHeight="1" spans="2:13">
      <c r="B306" s="27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32"/>
    </row>
    <row r="307" customHeight="1" spans="2:13">
      <c r="B307" s="23"/>
      <c r="C307" s="24"/>
      <c r="D307" s="24" t="s">
        <v>333</v>
      </c>
      <c r="E307" s="24"/>
      <c r="F307" s="24"/>
      <c r="G307" s="24"/>
      <c r="H307" s="24"/>
      <c r="I307" s="24"/>
      <c r="J307" s="24"/>
      <c r="K307" s="24"/>
      <c r="L307" s="24"/>
      <c r="M307" s="31"/>
    </row>
    <row r="308" customHeight="1" spans="2:13">
      <c r="B308" s="27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32"/>
    </row>
    <row r="309" customHeight="1" spans="2:13">
      <c r="B309" s="27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32"/>
    </row>
    <row r="310" customHeight="1" spans="2:13">
      <c r="B310" s="27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32"/>
    </row>
    <row r="311" customHeight="1" spans="2:13">
      <c r="B311" s="27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32"/>
    </row>
    <row r="312" customHeight="1" spans="2:13">
      <c r="B312" s="27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32"/>
    </row>
    <row r="313" customHeight="1" spans="2:13">
      <c r="B313" s="27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32"/>
    </row>
    <row r="314" customHeight="1" spans="2:13">
      <c r="B314" s="27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32"/>
    </row>
    <row r="315" customHeight="1" spans="2:13">
      <c r="B315" s="27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32"/>
    </row>
    <row r="316" customHeight="1" spans="2:13">
      <c r="B316" s="27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32"/>
    </row>
    <row r="317" customHeight="1" spans="2:13">
      <c r="B317" s="27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32"/>
    </row>
    <row r="318" customHeight="1" spans="2:13">
      <c r="B318" s="27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32"/>
    </row>
    <row r="319" customHeight="1" spans="2:13">
      <c r="B319" s="27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32"/>
    </row>
    <row r="320" customHeight="1" spans="2:13">
      <c r="B320" s="27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32"/>
    </row>
    <row r="321" customHeight="1" spans="2:13">
      <c r="B321" s="27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32"/>
    </row>
    <row r="322" customHeight="1" spans="2:13">
      <c r="B322" s="27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32"/>
    </row>
    <row r="323" customHeight="1" spans="2:13">
      <c r="B323" s="27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32"/>
    </row>
    <row r="324" customHeight="1" spans="2:13">
      <c r="B324" s="27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32"/>
    </row>
    <row r="325" customHeight="1" spans="2:13">
      <c r="B325" s="27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32"/>
    </row>
    <row r="326" customHeight="1" spans="2:13">
      <c r="B326" s="23"/>
      <c r="C326" s="24"/>
      <c r="D326" s="24" t="s">
        <v>333</v>
      </c>
      <c r="E326" s="24"/>
      <c r="F326" s="24"/>
      <c r="G326" s="24"/>
      <c r="H326" s="24"/>
      <c r="I326" s="24"/>
      <c r="J326" s="24"/>
      <c r="K326" s="24"/>
      <c r="L326" s="24"/>
      <c r="M326" s="31"/>
    </row>
    <row r="327" customHeight="1" spans="2:13">
      <c r="B327" s="27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32"/>
    </row>
    <row r="328" customHeight="1" spans="2:13">
      <c r="B328" s="27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32"/>
    </row>
    <row r="329" customHeight="1" spans="2:13">
      <c r="B329" s="27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32"/>
    </row>
    <row r="330" customHeight="1" spans="2:13">
      <c r="B330" s="27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32"/>
    </row>
    <row r="331" customHeight="1" spans="2:13">
      <c r="B331" s="27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32"/>
    </row>
    <row r="332" customHeight="1" spans="2:13">
      <c r="B332" s="27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32"/>
    </row>
    <row r="333" customHeight="1" spans="2:13">
      <c r="B333" s="27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32"/>
    </row>
    <row r="334" customHeight="1" spans="2:13">
      <c r="B334" s="27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32"/>
    </row>
    <row r="335" customHeight="1" spans="2:13">
      <c r="B335" s="27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32"/>
    </row>
    <row r="336" customHeight="1" spans="2:13">
      <c r="B336" s="27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32"/>
    </row>
    <row r="337" customHeight="1" spans="2:13">
      <c r="B337" s="27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32"/>
    </row>
    <row r="338" customHeight="1" spans="2:13">
      <c r="B338" s="27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32"/>
    </row>
    <row r="339" customHeight="1" spans="2:13">
      <c r="B339" s="27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32"/>
    </row>
    <row r="340" customHeight="1" spans="2:13">
      <c r="B340" s="27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32"/>
    </row>
    <row r="341" customHeight="1" spans="2:13">
      <c r="B341" s="27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32"/>
    </row>
    <row r="342" customHeight="1" spans="2:13">
      <c r="B342" s="27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32"/>
    </row>
    <row r="343" customHeight="1" spans="2:13">
      <c r="B343" s="27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32"/>
    </row>
    <row r="344" customHeight="1" spans="2:13">
      <c r="B344" s="27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32"/>
    </row>
    <row r="345" customHeight="1" spans="2:13">
      <c r="B345" s="23"/>
      <c r="C345" s="24"/>
      <c r="D345" s="24" t="s">
        <v>333</v>
      </c>
      <c r="E345" s="24"/>
      <c r="F345" s="24"/>
      <c r="G345" s="24"/>
      <c r="H345" s="24"/>
      <c r="I345" s="24"/>
      <c r="J345" s="24"/>
      <c r="K345" s="24"/>
      <c r="L345" s="24"/>
      <c r="M345" s="31"/>
    </row>
    <row r="346" customHeight="1" spans="2:13">
      <c r="B346" s="27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32"/>
    </row>
    <row r="347" customHeight="1" spans="2:13">
      <c r="B347" s="27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32"/>
    </row>
    <row r="348" customHeight="1" spans="2:13">
      <c r="B348" s="27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32"/>
    </row>
    <row r="349" customHeight="1" spans="2:13">
      <c r="B349" s="27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32"/>
    </row>
    <row r="350" customHeight="1" spans="2:13">
      <c r="B350" s="27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32"/>
    </row>
    <row r="351" customHeight="1" spans="2:13">
      <c r="B351" s="27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32"/>
    </row>
    <row r="352" customHeight="1" spans="2:13">
      <c r="B352" s="27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32"/>
    </row>
    <row r="353" customHeight="1" spans="2:13">
      <c r="B353" s="27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32"/>
    </row>
    <row r="354" customHeight="1" spans="2:13">
      <c r="B354" s="27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32"/>
    </row>
    <row r="355" customHeight="1" spans="2:13">
      <c r="B355" s="27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32"/>
    </row>
    <row r="356" customHeight="1" spans="2:13">
      <c r="B356" s="27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32"/>
    </row>
    <row r="357" customHeight="1" spans="2:13">
      <c r="B357" s="27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32"/>
    </row>
    <row r="358" customHeight="1" spans="2:13">
      <c r="B358" s="27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32"/>
    </row>
    <row r="359" customHeight="1" spans="2:13">
      <c r="B359" s="27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32"/>
    </row>
    <row r="360" customHeight="1" spans="2:13">
      <c r="B360" s="27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32"/>
    </row>
    <row r="361" customHeight="1" spans="2:13">
      <c r="B361" s="27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32"/>
    </row>
    <row r="362" customHeight="1" spans="2:13">
      <c r="B362" s="27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32"/>
    </row>
    <row r="363" customHeight="1" spans="2:13">
      <c r="B363" s="27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32"/>
    </row>
    <row r="364" customHeight="1" spans="2:13">
      <c r="B364" s="23"/>
      <c r="C364" s="24"/>
      <c r="D364" s="24" t="s">
        <v>333</v>
      </c>
      <c r="E364" s="24"/>
      <c r="F364" s="24"/>
      <c r="G364" s="24"/>
      <c r="H364" s="24"/>
      <c r="I364" s="24"/>
      <c r="J364" s="24"/>
      <c r="K364" s="24"/>
      <c r="L364" s="24"/>
      <c r="M364" s="31"/>
    </row>
    <row r="365" customHeight="1" spans="2:13">
      <c r="B365" s="27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32"/>
    </row>
    <row r="366" customHeight="1" spans="2:13">
      <c r="B366" s="27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32"/>
    </row>
    <row r="367" customHeight="1" spans="2:13">
      <c r="B367" s="27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32"/>
    </row>
    <row r="368" customHeight="1" spans="2:13">
      <c r="B368" s="27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32"/>
    </row>
    <row r="369" customHeight="1" spans="2:13">
      <c r="B369" s="27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32"/>
    </row>
    <row r="370" customHeight="1" spans="2:13">
      <c r="B370" s="27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32"/>
    </row>
    <row r="371" customHeight="1" spans="2:13">
      <c r="B371" s="27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32"/>
    </row>
    <row r="372" customHeight="1" spans="2:13">
      <c r="B372" s="27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32"/>
    </row>
    <row r="373" customHeight="1" spans="2:13">
      <c r="B373" s="27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32"/>
    </row>
    <row r="374" customHeight="1" spans="2:13">
      <c r="B374" s="27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32"/>
    </row>
    <row r="375" customHeight="1" spans="2:13">
      <c r="B375" s="27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32"/>
    </row>
    <row r="376" customHeight="1" spans="2:13">
      <c r="B376" s="27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32"/>
    </row>
    <row r="377" customHeight="1" spans="2:13">
      <c r="B377" s="27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32"/>
    </row>
    <row r="378" customHeight="1" spans="2:13">
      <c r="B378" s="27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32"/>
    </row>
    <row r="379" customHeight="1" spans="2:13">
      <c r="B379" s="27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32"/>
    </row>
    <row r="380" customHeight="1" spans="2:13">
      <c r="B380" s="27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32"/>
    </row>
    <row r="381" customHeight="1" spans="2:13">
      <c r="B381" s="27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32"/>
    </row>
    <row r="382" customHeight="1" spans="2:13">
      <c r="B382" s="42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4"/>
    </row>
  </sheetData>
  <mergeCells count="349">
    <mergeCell ref="B2:M2"/>
    <mergeCell ref="O2:AT2"/>
    <mergeCell ref="B3:C3"/>
    <mergeCell ref="D3:E3"/>
    <mergeCell ref="F3:M3"/>
    <mergeCell ref="O3:P3"/>
    <mergeCell ref="Q3:R3"/>
    <mergeCell ref="S3:X3"/>
    <mergeCell ref="Y3:AB3"/>
    <mergeCell ref="AC3:AT3"/>
    <mergeCell ref="B22:C22"/>
    <mergeCell ref="D22:E22"/>
    <mergeCell ref="F22:M22"/>
    <mergeCell ref="B41:C41"/>
    <mergeCell ref="D41:E41"/>
    <mergeCell ref="F41:M41"/>
    <mergeCell ref="B60:C60"/>
    <mergeCell ref="D60:E60"/>
    <mergeCell ref="F60:M60"/>
    <mergeCell ref="B79:C79"/>
    <mergeCell ref="D79:E79"/>
    <mergeCell ref="F79:M79"/>
    <mergeCell ref="B98:C98"/>
    <mergeCell ref="D98:E98"/>
    <mergeCell ref="F98:M98"/>
    <mergeCell ref="B117:C117"/>
    <mergeCell ref="D117:E117"/>
    <mergeCell ref="F117:M117"/>
    <mergeCell ref="B136:C136"/>
    <mergeCell ref="D136:E136"/>
    <mergeCell ref="F136:M136"/>
    <mergeCell ref="B155:C155"/>
    <mergeCell ref="D155:E155"/>
    <mergeCell ref="F155:M155"/>
    <mergeCell ref="B174:C174"/>
    <mergeCell ref="D174:E174"/>
    <mergeCell ref="F174:M174"/>
    <mergeCell ref="B193:C193"/>
    <mergeCell ref="D193:E193"/>
    <mergeCell ref="F193:M193"/>
    <mergeCell ref="B212:C212"/>
    <mergeCell ref="D212:E212"/>
    <mergeCell ref="F212:M212"/>
    <mergeCell ref="B231:C231"/>
    <mergeCell ref="D231:E231"/>
    <mergeCell ref="F231:M231"/>
    <mergeCell ref="B250:C250"/>
    <mergeCell ref="D250:E250"/>
    <mergeCell ref="F250:M250"/>
    <mergeCell ref="B269:C269"/>
    <mergeCell ref="D269:E269"/>
    <mergeCell ref="F269:M269"/>
    <mergeCell ref="B288:C288"/>
    <mergeCell ref="D288:E288"/>
    <mergeCell ref="F288:M288"/>
    <mergeCell ref="B307:C307"/>
    <mergeCell ref="D307:E307"/>
    <mergeCell ref="F307:M307"/>
    <mergeCell ref="B326:C326"/>
    <mergeCell ref="D326:E326"/>
    <mergeCell ref="F326:M326"/>
    <mergeCell ref="B345:C345"/>
    <mergeCell ref="D345:E345"/>
    <mergeCell ref="F345:M345"/>
    <mergeCell ref="B364:C364"/>
    <mergeCell ref="D364:E364"/>
    <mergeCell ref="F364:M364"/>
    <mergeCell ref="B4:M21"/>
    <mergeCell ref="B23:M40"/>
    <mergeCell ref="B42:M59"/>
    <mergeCell ref="B61:M78"/>
    <mergeCell ref="B80:M97"/>
    <mergeCell ref="B99:M116"/>
    <mergeCell ref="B118:M135"/>
    <mergeCell ref="B137:M154"/>
    <mergeCell ref="B156:M173"/>
    <mergeCell ref="B175:M192"/>
    <mergeCell ref="B194:M211"/>
    <mergeCell ref="B213:M230"/>
    <mergeCell ref="B232:M249"/>
    <mergeCell ref="B251:M268"/>
    <mergeCell ref="B270:M287"/>
    <mergeCell ref="B289:M306"/>
    <mergeCell ref="B308:M325"/>
    <mergeCell ref="B327:M344"/>
    <mergeCell ref="B346:M363"/>
    <mergeCell ref="B365:M382"/>
    <mergeCell ref="O4:P5"/>
    <mergeCell ref="O6:P7"/>
    <mergeCell ref="O8:P9"/>
    <mergeCell ref="S4:X5"/>
    <mergeCell ref="Y4:AB5"/>
    <mergeCell ref="S6:X7"/>
    <mergeCell ref="Y6:AB7"/>
    <mergeCell ref="AC4:AT5"/>
    <mergeCell ref="AC6:AT7"/>
    <mergeCell ref="S8:X9"/>
    <mergeCell ref="Y8:AB9"/>
    <mergeCell ref="AC8:AT9"/>
    <mergeCell ref="O10:P12"/>
    <mergeCell ref="Q10:R12"/>
    <mergeCell ref="S10:X12"/>
    <mergeCell ref="Y10:AB12"/>
    <mergeCell ref="AC10:AT12"/>
    <mergeCell ref="O13:P15"/>
    <mergeCell ref="Q13:R15"/>
    <mergeCell ref="O16:P18"/>
    <mergeCell ref="Q16:R18"/>
    <mergeCell ref="O19:P21"/>
    <mergeCell ref="Q19:R21"/>
    <mergeCell ref="O22:P24"/>
    <mergeCell ref="Q22:R24"/>
    <mergeCell ref="O25:P27"/>
    <mergeCell ref="Q25:R27"/>
    <mergeCell ref="O28:P30"/>
    <mergeCell ref="Q28:R30"/>
    <mergeCell ref="O31:P33"/>
    <mergeCell ref="Q31:R33"/>
    <mergeCell ref="O34:P36"/>
    <mergeCell ref="Q34:R36"/>
    <mergeCell ref="O37:P39"/>
    <mergeCell ref="Q37:R39"/>
    <mergeCell ref="O40:P42"/>
    <mergeCell ref="Q40:R42"/>
    <mergeCell ref="O43:P45"/>
    <mergeCell ref="Q43:R45"/>
    <mergeCell ref="O46:P48"/>
    <mergeCell ref="Q46:R48"/>
    <mergeCell ref="O49:P51"/>
    <mergeCell ref="Q49:R51"/>
    <mergeCell ref="O52:P54"/>
    <mergeCell ref="Q52:R54"/>
    <mergeCell ref="O55:P57"/>
    <mergeCell ref="Q55:R57"/>
    <mergeCell ref="O58:P60"/>
    <mergeCell ref="Q58:R60"/>
    <mergeCell ref="O61:P63"/>
    <mergeCell ref="Q61:R63"/>
    <mergeCell ref="O64:P66"/>
    <mergeCell ref="Q64:R66"/>
    <mergeCell ref="O67:P69"/>
    <mergeCell ref="Q67:R69"/>
    <mergeCell ref="O70:P72"/>
    <mergeCell ref="Q70:R72"/>
    <mergeCell ref="O73:P75"/>
    <mergeCell ref="Q73:R75"/>
    <mergeCell ref="O76:P78"/>
    <mergeCell ref="Q76:R78"/>
    <mergeCell ref="O79:P81"/>
    <mergeCell ref="Q79:R81"/>
    <mergeCell ref="O82:P84"/>
    <mergeCell ref="Q82:R84"/>
    <mergeCell ref="O85:P87"/>
    <mergeCell ref="Q85:R87"/>
    <mergeCell ref="O88:P90"/>
    <mergeCell ref="Q88:R90"/>
    <mergeCell ref="O91:P93"/>
    <mergeCell ref="Q91:R93"/>
    <mergeCell ref="O94:P96"/>
    <mergeCell ref="Q94:R96"/>
    <mergeCell ref="O97:P99"/>
    <mergeCell ref="Q97:R99"/>
    <mergeCell ref="O100:P102"/>
    <mergeCell ref="Q100:R102"/>
    <mergeCell ref="O103:P105"/>
    <mergeCell ref="Q103:R105"/>
    <mergeCell ref="O106:P108"/>
    <mergeCell ref="Q106:R108"/>
    <mergeCell ref="O109:P111"/>
    <mergeCell ref="Q109:R111"/>
    <mergeCell ref="O112:P114"/>
    <mergeCell ref="Q112:R114"/>
    <mergeCell ref="O115:P117"/>
    <mergeCell ref="Q115:R117"/>
    <mergeCell ref="O118:P120"/>
    <mergeCell ref="Q118:R120"/>
    <mergeCell ref="O121:P123"/>
    <mergeCell ref="Q121:R123"/>
    <mergeCell ref="O124:P126"/>
    <mergeCell ref="Q124:R126"/>
    <mergeCell ref="O127:P129"/>
    <mergeCell ref="Q127:R129"/>
    <mergeCell ref="O130:P132"/>
    <mergeCell ref="Q130:R132"/>
    <mergeCell ref="O133:P135"/>
    <mergeCell ref="Q133:R135"/>
    <mergeCell ref="O136:P138"/>
    <mergeCell ref="Q136:R138"/>
    <mergeCell ref="O139:P141"/>
    <mergeCell ref="Q139:R141"/>
    <mergeCell ref="O142:P144"/>
    <mergeCell ref="Q142:R144"/>
    <mergeCell ref="O145:P147"/>
    <mergeCell ref="Q145:R147"/>
    <mergeCell ref="O148:P150"/>
    <mergeCell ref="Q148:R150"/>
    <mergeCell ref="O151:P153"/>
    <mergeCell ref="Q151:R153"/>
    <mergeCell ref="O154:P156"/>
    <mergeCell ref="Q154:R156"/>
    <mergeCell ref="O157:P159"/>
    <mergeCell ref="Q157:R159"/>
    <mergeCell ref="S13:X15"/>
    <mergeCell ref="S16:X18"/>
    <mergeCell ref="S19:X21"/>
    <mergeCell ref="S22:X24"/>
    <mergeCell ref="S25:X27"/>
    <mergeCell ref="S28:X30"/>
    <mergeCell ref="S31:X33"/>
    <mergeCell ref="S34:X36"/>
    <mergeCell ref="S37:X39"/>
    <mergeCell ref="S40:X42"/>
    <mergeCell ref="S43:X45"/>
    <mergeCell ref="S46:X48"/>
    <mergeCell ref="S49:X51"/>
    <mergeCell ref="S52:X54"/>
    <mergeCell ref="S55:X57"/>
    <mergeCell ref="S58:X60"/>
    <mergeCell ref="S61:X63"/>
    <mergeCell ref="S64:X66"/>
    <mergeCell ref="S67:X69"/>
    <mergeCell ref="S70:X72"/>
    <mergeCell ref="S73:X75"/>
    <mergeCell ref="S76:X78"/>
    <mergeCell ref="S79:X81"/>
    <mergeCell ref="S82:X84"/>
    <mergeCell ref="S85:X87"/>
    <mergeCell ref="S88:X90"/>
    <mergeCell ref="S91:X93"/>
    <mergeCell ref="S94:X96"/>
    <mergeCell ref="S97:X99"/>
    <mergeCell ref="S100:X102"/>
    <mergeCell ref="S103:X105"/>
    <mergeCell ref="S106:X108"/>
    <mergeCell ref="S109:X111"/>
    <mergeCell ref="S112:X114"/>
    <mergeCell ref="S115:X117"/>
    <mergeCell ref="S118:X120"/>
    <mergeCell ref="S121:X123"/>
    <mergeCell ref="S124:X126"/>
    <mergeCell ref="S127:X129"/>
    <mergeCell ref="S130:X132"/>
    <mergeCell ref="S133:X135"/>
    <mergeCell ref="S136:X138"/>
    <mergeCell ref="S139:X141"/>
    <mergeCell ref="S142:X144"/>
    <mergeCell ref="S145:X147"/>
    <mergeCell ref="S148:X150"/>
    <mergeCell ref="S151:X153"/>
    <mergeCell ref="S154:X156"/>
    <mergeCell ref="S157:X159"/>
    <mergeCell ref="Y13:AB15"/>
    <mergeCell ref="Y16:AB18"/>
    <mergeCell ref="Y19:AB21"/>
    <mergeCell ref="Y22:AB24"/>
    <mergeCell ref="Y25:AB27"/>
    <mergeCell ref="Y28:AB30"/>
    <mergeCell ref="Y31:AB33"/>
    <mergeCell ref="Y34:AB36"/>
    <mergeCell ref="Y37:AB39"/>
    <mergeCell ref="Y40:AB42"/>
    <mergeCell ref="Y43:AB45"/>
    <mergeCell ref="Y46:AB48"/>
    <mergeCell ref="Y49:AB51"/>
    <mergeCell ref="Y52:AB54"/>
    <mergeCell ref="Y55:AB57"/>
    <mergeCell ref="Y58:AB60"/>
    <mergeCell ref="Y61:AB63"/>
    <mergeCell ref="Y64:AB66"/>
    <mergeCell ref="Y67:AB69"/>
    <mergeCell ref="Y70:AB72"/>
    <mergeCell ref="Y73:AB75"/>
    <mergeCell ref="Y76:AB78"/>
    <mergeCell ref="Y79:AB81"/>
    <mergeCell ref="Y82:AB84"/>
    <mergeCell ref="Y85:AB87"/>
    <mergeCell ref="Y88:AB90"/>
    <mergeCell ref="Y91:AB93"/>
    <mergeCell ref="Y94:AB96"/>
    <mergeCell ref="Y97:AB99"/>
    <mergeCell ref="Y100:AB102"/>
    <mergeCell ref="Y103:AB105"/>
    <mergeCell ref="Y106:AB108"/>
    <mergeCell ref="Y109:AB111"/>
    <mergeCell ref="Y112:AB114"/>
    <mergeCell ref="Y115:AB117"/>
    <mergeCell ref="Y118:AB120"/>
    <mergeCell ref="Y121:AB123"/>
    <mergeCell ref="Y124:AB126"/>
    <mergeCell ref="Y127:AB129"/>
    <mergeCell ref="Y130:AB132"/>
    <mergeCell ref="Y133:AB135"/>
    <mergeCell ref="Y136:AB138"/>
    <mergeCell ref="Y139:AB141"/>
    <mergeCell ref="Y142:AB144"/>
    <mergeCell ref="Y145:AB147"/>
    <mergeCell ref="Y148:AB150"/>
    <mergeCell ref="Y151:AB153"/>
    <mergeCell ref="Y154:AB156"/>
    <mergeCell ref="Y157:AB159"/>
    <mergeCell ref="AC13:AT15"/>
    <mergeCell ref="AC16:AT18"/>
    <mergeCell ref="AC19:AT21"/>
    <mergeCell ref="AC22:AT24"/>
    <mergeCell ref="AC25:AT27"/>
    <mergeCell ref="AC28:AT30"/>
    <mergeCell ref="AC31:AT33"/>
    <mergeCell ref="AC34:AT36"/>
    <mergeCell ref="AC37:AT39"/>
    <mergeCell ref="AC40:AT42"/>
    <mergeCell ref="AC43:AT45"/>
    <mergeCell ref="AC46:AT48"/>
    <mergeCell ref="AC49:AT51"/>
    <mergeCell ref="AC52:AT54"/>
    <mergeCell ref="AC55:AT57"/>
    <mergeCell ref="AC58:AT60"/>
    <mergeCell ref="AC61:AT63"/>
    <mergeCell ref="AC64:AT66"/>
    <mergeCell ref="AC67:AT69"/>
    <mergeCell ref="AC70:AT72"/>
    <mergeCell ref="AC73:AT75"/>
    <mergeCell ref="AC76:AT78"/>
    <mergeCell ref="AC79:AT81"/>
    <mergeCell ref="AC82:AT84"/>
    <mergeCell ref="AC85:AT87"/>
    <mergeCell ref="AC88:AT90"/>
    <mergeCell ref="AC91:AT93"/>
    <mergeCell ref="AC94:AT96"/>
    <mergeCell ref="AC97:AT99"/>
    <mergeCell ref="AC100:AT102"/>
    <mergeCell ref="AC103:AT105"/>
    <mergeCell ref="AC106:AT108"/>
    <mergeCell ref="AC109:AT111"/>
    <mergeCell ref="AC112:AT114"/>
    <mergeCell ref="AC115:AT117"/>
    <mergeCell ref="AC118:AT120"/>
    <mergeCell ref="AC121:AT123"/>
    <mergeCell ref="AC124:AT126"/>
    <mergeCell ref="AC127:AT129"/>
    <mergeCell ref="AC130:AT132"/>
    <mergeCell ref="AC133:AT135"/>
    <mergeCell ref="AC136:AT138"/>
    <mergeCell ref="AC139:AT141"/>
    <mergeCell ref="AC142:AT144"/>
    <mergeCell ref="AC145:AT147"/>
    <mergeCell ref="AC148:AT150"/>
    <mergeCell ref="AC151:AT153"/>
    <mergeCell ref="AC154:AT156"/>
    <mergeCell ref="AC157:AT159"/>
  </mergeCells>
  <dataValidations count="3">
    <dataValidation type="list" allowBlank="1" showInputMessage="1" showErrorMessage="1" sqref="B3:C3 B22:C22 B41:C41 B60:C60 B79:C79 B98:C98 B117:C117 B136:C136 B155:C155 B174:C174 B193:C193 B212:C212 B231:C231 B250:C250 B269:C269 B288:C288 B307:C307 B326:C326 B345:C345 B364:C364">
      <formula1>"可使用,不可使用"</formula1>
    </dataValidation>
    <dataValidation allowBlank="1" showInputMessage="1" showErrorMessage="1" sqref="Q160:R160"/>
    <dataValidation type="list" allowBlank="1" showInputMessage="1" showErrorMessage="1" sqref="Q10:R11 Q16:R17 Q22:R23 Q28:R29 Q34:R35 Q40:R41 Q46:R47 Q52:R53 Q58:R59 Q64:R65 Q70:R71 Q76:R77 Q82:R83 Q88:R89 Q94:R95 Q100:R101 Q106:R107 Q112:R113 Q118:R119 Q124:R125 Q130:R131 Q136:R137 Q142:R143 Q148:R149 Q154:R155 Q13:R14 Q19:R20 Q25:R26 Q31:R32 Q37:R38 Q43:R44 Q49:R50 Q55:R56 Q61:R62 Q67:R68 Q73:R74 Q79:R80 Q85:R86 Q91:R92 Q97:R98 Q103:R104 Q109:R110 Q115:R116 Q121:R122 Q127:R128 Q133:R134 Q139:R140 Q145:R146 Q151:R152 Q157:R158">
      <formula1>"是,否"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F87"/>
  <sheetViews>
    <sheetView topLeftCell="B1" workbookViewId="0">
      <selection activeCell="D16" sqref="D16:V18"/>
    </sheetView>
  </sheetViews>
  <sheetFormatPr defaultColWidth="4.775" defaultRowHeight="16" customHeight="1"/>
  <cols>
    <col min="1" max="16384" width="4.775" style="1" customWidth="1"/>
  </cols>
  <sheetData>
    <row r="2" customHeight="1" spans="2:24">
      <c r="B2" s="2" t="s">
        <v>342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14"/>
    </row>
    <row r="3" customHeight="1" spans="2:24">
      <c r="B3" s="4" t="s">
        <v>343</v>
      </c>
      <c r="C3" s="5"/>
      <c r="D3" s="5" t="s">
        <v>344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 t="s">
        <v>345</v>
      </c>
      <c r="X3" s="15"/>
    </row>
    <row r="4" customHeight="1" spans="2:32">
      <c r="B4" s="4" t="s">
        <v>346</v>
      </c>
      <c r="C4" s="5"/>
      <c r="D4" s="6" t="s">
        <v>347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8"/>
      <c r="X4" s="15"/>
      <c r="Z4" s="12" t="s">
        <v>348</v>
      </c>
      <c r="AA4" s="12"/>
      <c r="AB4" s="12"/>
      <c r="AC4" s="12"/>
      <c r="AD4" s="12"/>
      <c r="AE4" s="12"/>
      <c r="AF4" s="19"/>
    </row>
    <row r="5" customHeight="1" spans="2:32">
      <c r="B5" s="4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8"/>
      <c r="X5" s="15"/>
      <c r="Z5" s="12"/>
      <c r="AA5" s="12"/>
      <c r="AB5" s="12"/>
      <c r="AC5" s="12"/>
      <c r="AD5" s="12"/>
      <c r="AE5" s="12"/>
      <c r="AF5" s="19"/>
    </row>
    <row r="6" customHeight="1" spans="2:32">
      <c r="B6" s="4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8"/>
      <c r="X6" s="15"/>
      <c r="Z6" s="12"/>
      <c r="AA6" s="12"/>
      <c r="AB6" s="12"/>
      <c r="AC6" s="12"/>
      <c r="AD6" s="12"/>
      <c r="AE6" s="12"/>
      <c r="AF6" s="19"/>
    </row>
    <row r="7" customHeight="1" spans="2:32">
      <c r="B7" s="4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8"/>
      <c r="X7" s="15"/>
      <c r="Z7" s="12"/>
      <c r="AA7" s="12"/>
      <c r="AB7" s="12"/>
      <c r="AC7" s="12"/>
      <c r="AD7" s="12"/>
      <c r="AE7" s="12"/>
      <c r="AF7" s="19"/>
    </row>
    <row r="8" customHeight="1" spans="2:32">
      <c r="B8" s="4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8"/>
      <c r="X8" s="15"/>
      <c r="Z8" s="12"/>
      <c r="AA8" s="12"/>
      <c r="AB8" s="12"/>
      <c r="AC8" s="12"/>
      <c r="AD8" s="12"/>
      <c r="AE8" s="12"/>
      <c r="AF8" s="19"/>
    </row>
    <row r="9" customHeight="1" spans="2:31">
      <c r="B9" s="4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8"/>
      <c r="X9" s="15"/>
      <c r="Z9" s="12"/>
      <c r="AA9" s="12"/>
      <c r="AB9" s="12"/>
      <c r="AC9" s="12"/>
      <c r="AD9" s="12"/>
      <c r="AE9" s="12"/>
    </row>
    <row r="10" customHeight="1" spans="2:24">
      <c r="B10" s="4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8"/>
      <c r="X10" s="15"/>
    </row>
    <row r="11" customHeight="1" spans="2:24">
      <c r="B11" s="4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8"/>
      <c r="X11" s="15"/>
    </row>
    <row r="12" customHeight="1" spans="2:24">
      <c r="B12" s="4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8"/>
      <c r="X12" s="15"/>
    </row>
    <row r="13" customHeight="1" spans="2:24">
      <c r="B13" s="4" t="s">
        <v>349</v>
      </c>
      <c r="C13" s="5"/>
      <c r="D13" s="6" t="s">
        <v>350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8"/>
      <c r="X13" s="15"/>
    </row>
    <row r="14" customHeight="1" spans="2:24">
      <c r="B14" s="4"/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8"/>
      <c r="X14" s="15"/>
    </row>
    <row r="15" customHeight="1" spans="2:24">
      <c r="B15" s="4"/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8"/>
      <c r="X15" s="15"/>
    </row>
    <row r="16" customHeight="1" spans="2:24">
      <c r="B16" s="4" t="s">
        <v>351</v>
      </c>
      <c r="C16" s="5"/>
      <c r="D16" s="6" t="s">
        <v>352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8"/>
      <c r="X16" s="15"/>
    </row>
    <row r="17" customHeight="1" spans="2:24">
      <c r="B17" s="4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8"/>
      <c r="X17" s="15"/>
    </row>
    <row r="18" customHeight="1" spans="2:24">
      <c r="B18" s="4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8"/>
      <c r="X18" s="15"/>
    </row>
    <row r="19" customHeight="1" spans="2:24">
      <c r="B19" s="7" t="s">
        <v>353</v>
      </c>
      <c r="C19" s="6"/>
      <c r="D19" s="8">
        <f>COUNTA(B4:C18)*2-COUNTA(W4:X18)*4</f>
        <v>6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15"/>
    </row>
    <row r="20" customHeight="1" spans="2:24">
      <c r="B20" s="7"/>
      <c r="C20" s="6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15"/>
    </row>
    <row r="21" customHeight="1" spans="2:24">
      <c r="B21" s="9"/>
      <c r="C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6"/>
    </row>
    <row r="23" customHeight="1" spans="2:31">
      <c r="B23" s="2" t="s">
        <v>354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14"/>
      <c r="Z23" s="2" t="s">
        <v>31</v>
      </c>
      <c r="AA23" s="3"/>
      <c r="AB23" s="3"/>
      <c r="AC23" s="3"/>
      <c r="AD23" s="3"/>
      <c r="AE23" s="14"/>
    </row>
    <row r="24" customHeight="1" spans="2:31">
      <c r="B24" s="4" t="s">
        <v>355</v>
      </c>
      <c r="C24" s="8"/>
      <c r="D24" s="8" t="s">
        <v>356</v>
      </c>
      <c r="E24" s="8"/>
      <c r="F24" s="8" t="s">
        <v>357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15"/>
      <c r="Z24" s="4" t="s">
        <v>356</v>
      </c>
      <c r="AA24" s="8"/>
      <c r="AB24" s="8"/>
      <c r="AC24" s="8">
        <f>SUM(D25:E54)</f>
        <v>0</v>
      </c>
      <c r="AD24" s="8"/>
      <c r="AE24" s="15"/>
    </row>
    <row r="25" customHeight="1" spans="2:31">
      <c r="B25" s="4" t="s">
        <v>358</v>
      </c>
      <c r="C25" s="8"/>
      <c r="D25" s="8"/>
      <c r="E25" s="8"/>
      <c r="F25" s="12" t="s">
        <v>359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7"/>
      <c r="Z25" s="4"/>
      <c r="AA25" s="8"/>
      <c r="AB25" s="8"/>
      <c r="AC25" s="8"/>
      <c r="AD25" s="8"/>
      <c r="AE25" s="15"/>
    </row>
    <row r="26" customHeight="1" spans="2:31">
      <c r="B26" s="4"/>
      <c r="C26" s="8"/>
      <c r="D26" s="8"/>
      <c r="E26" s="8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7"/>
      <c r="Z26" s="4"/>
      <c r="AA26" s="8"/>
      <c r="AB26" s="8"/>
      <c r="AC26" s="8"/>
      <c r="AD26" s="8"/>
      <c r="AE26" s="15"/>
    </row>
    <row r="27" customHeight="1" spans="2:31">
      <c r="B27" s="4"/>
      <c r="C27" s="8"/>
      <c r="D27" s="8"/>
      <c r="E27" s="8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7"/>
      <c r="Z27" s="4" t="s">
        <v>360</v>
      </c>
      <c r="AA27" s="8"/>
      <c r="AB27" s="8"/>
      <c r="AC27" s="8">
        <f>SUM(D58:E87)</f>
        <v>0</v>
      </c>
      <c r="AD27" s="8"/>
      <c r="AE27" s="15"/>
    </row>
    <row r="28" customHeight="1" spans="2:31">
      <c r="B28" s="4" t="s">
        <v>361</v>
      </c>
      <c r="C28" s="8"/>
      <c r="D28" s="8"/>
      <c r="E28" s="8"/>
      <c r="F28" s="12" t="s">
        <v>362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7"/>
      <c r="Z28" s="4"/>
      <c r="AA28" s="8"/>
      <c r="AB28" s="8"/>
      <c r="AC28" s="8"/>
      <c r="AD28" s="8"/>
      <c r="AE28" s="15"/>
    </row>
    <row r="29" customHeight="1" spans="2:31">
      <c r="B29" s="4"/>
      <c r="C29" s="8"/>
      <c r="D29" s="8"/>
      <c r="E29" s="8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7"/>
      <c r="Z29" s="4"/>
      <c r="AA29" s="8"/>
      <c r="AB29" s="8"/>
      <c r="AC29" s="8"/>
      <c r="AD29" s="8"/>
      <c r="AE29" s="15"/>
    </row>
    <row r="30" customHeight="1" spans="2:31">
      <c r="B30" s="4"/>
      <c r="C30" s="8"/>
      <c r="D30" s="8"/>
      <c r="E30" s="8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7"/>
      <c r="Z30" s="4" t="s">
        <v>363</v>
      </c>
      <c r="AA30" s="8"/>
      <c r="AB30" s="8"/>
      <c r="AC30" s="8">
        <f>AC24-2*AC27</f>
        <v>0</v>
      </c>
      <c r="AD30" s="8"/>
      <c r="AE30" s="15"/>
    </row>
    <row r="31" customHeight="1" spans="2:31">
      <c r="B31" s="4" t="s">
        <v>364</v>
      </c>
      <c r="C31" s="8"/>
      <c r="D31" s="8"/>
      <c r="E31" s="8"/>
      <c r="F31" s="12" t="s">
        <v>365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7"/>
      <c r="Z31" s="4"/>
      <c r="AA31" s="8"/>
      <c r="AB31" s="8"/>
      <c r="AC31" s="8"/>
      <c r="AD31" s="8"/>
      <c r="AE31" s="15"/>
    </row>
    <row r="32" customHeight="1" spans="2:31">
      <c r="B32" s="4"/>
      <c r="C32" s="8"/>
      <c r="D32" s="8"/>
      <c r="E32" s="8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7"/>
      <c r="Z32" s="13"/>
      <c r="AA32" s="11"/>
      <c r="AB32" s="11"/>
      <c r="AC32" s="11"/>
      <c r="AD32" s="11"/>
      <c r="AE32" s="16"/>
    </row>
    <row r="33" customHeight="1" spans="2:24">
      <c r="B33" s="4"/>
      <c r="C33" s="8"/>
      <c r="D33" s="8"/>
      <c r="E33" s="8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7"/>
    </row>
    <row r="34" customHeight="1" spans="2:24">
      <c r="B34" s="4" t="s">
        <v>366</v>
      </c>
      <c r="C34" s="8"/>
      <c r="D34" s="8"/>
      <c r="E34" s="8"/>
      <c r="F34" s="12" t="s">
        <v>367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7"/>
    </row>
    <row r="35" customHeight="1" spans="2:24">
      <c r="B35" s="4"/>
      <c r="C35" s="8"/>
      <c r="D35" s="8"/>
      <c r="E35" s="8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7"/>
    </row>
    <row r="36" customHeight="1" spans="2:24">
      <c r="B36" s="4"/>
      <c r="C36" s="8"/>
      <c r="D36" s="8"/>
      <c r="E36" s="8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7"/>
    </row>
    <row r="37" customHeight="1" spans="2:24">
      <c r="B37" s="4" t="s">
        <v>368</v>
      </c>
      <c r="C37" s="8"/>
      <c r="D37" s="8"/>
      <c r="E37" s="8"/>
      <c r="F37" s="12" t="s">
        <v>369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7"/>
    </row>
    <row r="38" customHeight="1" spans="2:24">
      <c r="B38" s="4"/>
      <c r="C38" s="8"/>
      <c r="D38" s="8"/>
      <c r="E38" s="8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7"/>
    </row>
    <row r="39" customHeight="1" spans="2:24">
      <c r="B39" s="4"/>
      <c r="C39" s="8"/>
      <c r="D39" s="8"/>
      <c r="E39" s="8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7"/>
    </row>
    <row r="40" customHeight="1" spans="2:24">
      <c r="B40" s="4"/>
      <c r="C40" s="8"/>
      <c r="D40" s="8"/>
      <c r="E40" s="8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7"/>
    </row>
    <row r="41" customHeight="1" spans="2:24">
      <c r="B41" s="4"/>
      <c r="C41" s="8"/>
      <c r="D41" s="8"/>
      <c r="E41" s="8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7"/>
    </row>
    <row r="42" customHeight="1" spans="2:24">
      <c r="B42" s="4"/>
      <c r="C42" s="8"/>
      <c r="D42" s="8"/>
      <c r="E42" s="8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7"/>
    </row>
    <row r="43" customHeight="1" spans="2:24">
      <c r="B43" s="4"/>
      <c r="C43" s="8"/>
      <c r="D43" s="8"/>
      <c r="E43" s="8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7"/>
    </row>
    <row r="44" customHeight="1" spans="2:24">
      <c r="B44" s="4"/>
      <c r="C44" s="8"/>
      <c r="D44" s="8"/>
      <c r="E44" s="8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7"/>
    </row>
    <row r="45" customHeight="1" spans="2:24">
      <c r="B45" s="4"/>
      <c r="C45" s="8"/>
      <c r="D45" s="8"/>
      <c r="E45" s="8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7"/>
    </row>
    <row r="46" customHeight="1" spans="2:24">
      <c r="B46" s="4"/>
      <c r="C46" s="8"/>
      <c r="D46" s="8"/>
      <c r="E46" s="8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7"/>
    </row>
    <row r="47" customHeight="1" spans="2:24">
      <c r="B47" s="4"/>
      <c r="C47" s="8"/>
      <c r="D47" s="8"/>
      <c r="E47" s="8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7"/>
    </row>
    <row r="48" customHeight="1" spans="2:24">
      <c r="B48" s="4"/>
      <c r="C48" s="8"/>
      <c r="D48" s="8"/>
      <c r="E48" s="8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7"/>
    </row>
    <row r="49" customHeight="1" spans="2:24">
      <c r="B49" s="4"/>
      <c r="C49" s="8"/>
      <c r="D49" s="8"/>
      <c r="E49" s="8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7"/>
    </row>
    <row r="50" customHeight="1" spans="2:24">
      <c r="B50" s="4"/>
      <c r="C50" s="8"/>
      <c r="D50" s="8"/>
      <c r="E50" s="8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7"/>
    </row>
    <row r="51" customHeight="1" spans="2:24">
      <c r="B51" s="4"/>
      <c r="C51" s="8"/>
      <c r="D51" s="8"/>
      <c r="E51" s="8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7"/>
    </row>
    <row r="52" customHeight="1" spans="2:24">
      <c r="B52" s="4"/>
      <c r="C52" s="8"/>
      <c r="D52" s="8"/>
      <c r="E52" s="8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7"/>
    </row>
    <row r="53" customHeight="1" spans="2:24">
      <c r="B53" s="4"/>
      <c r="C53" s="8"/>
      <c r="D53" s="8"/>
      <c r="E53" s="8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7"/>
    </row>
    <row r="54" customHeight="1" spans="2:24">
      <c r="B54" s="13"/>
      <c r="C54" s="11"/>
      <c r="D54" s="11"/>
      <c r="E54" s="11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8"/>
    </row>
    <row r="56" customHeight="1" spans="2:24">
      <c r="B56" s="2" t="s">
        <v>370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14"/>
    </row>
    <row r="57" customHeight="1" spans="2:24">
      <c r="B57" s="4" t="s">
        <v>371</v>
      </c>
      <c r="C57" s="8"/>
      <c r="D57" s="8" t="s">
        <v>360</v>
      </c>
      <c r="E57" s="8"/>
      <c r="F57" s="8" t="s">
        <v>372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5"/>
    </row>
    <row r="58" customHeight="1" spans="2:24">
      <c r="B58" s="4" t="s">
        <v>373</v>
      </c>
      <c r="C58" s="8"/>
      <c r="D58" s="8"/>
      <c r="E58" s="8"/>
      <c r="F58" s="12" t="s">
        <v>374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7"/>
    </row>
    <row r="59" customHeight="1" spans="2:24">
      <c r="B59" s="4"/>
      <c r="C59" s="8"/>
      <c r="D59" s="8"/>
      <c r="E59" s="8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7"/>
    </row>
    <row r="60" customHeight="1" spans="2:24">
      <c r="B60" s="4"/>
      <c r="C60" s="8"/>
      <c r="D60" s="8"/>
      <c r="E60" s="8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7"/>
    </row>
    <row r="61" customHeight="1" spans="2:24">
      <c r="B61" s="4" t="s">
        <v>375</v>
      </c>
      <c r="C61" s="8"/>
      <c r="D61" s="8"/>
      <c r="E61" s="8"/>
      <c r="F61" s="12" t="s">
        <v>376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7"/>
    </row>
    <row r="62" customHeight="1" spans="2:24">
      <c r="B62" s="4"/>
      <c r="C62" s="8"/>
      <c r="D62" s="8"/>
      <c r="E62" s="8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7"/>
    </row>
    <row r="63" customHeight="1" spans="2:24">
      <c r="B63" s="4"/>
      <c r="C63" s="8"/>
      <c r="D63" s="8"/>
      <c r="E63" s="8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7"/>
    </row>
    <row r="64" customHeight="1" spans="2:24">
      <c r="B64" s="4" t="s">
        <v>377</v>
      </c>
      <c r="C64" s="8"/>
      <c r="D64" s="8"/>
      <c r="E64" s="8"/>
      <c r="F64" s="12" t="s">
        <v>378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7"/>
    </row>
    <row r="65" customHeight="1" spans="2:24">
      <c r="B65" s="4"/>
      <c r="C65" s="8"/>
      <c r="D65" s="8"/>
      <c r="E65" s="8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7"/>
    </row>
    <row r="66" customHeight="1" spans="2:24">
      <c r="B66" s="4"/>
      <c r="C66" s="8"/>
      <c r="D66" s="8"/>
      <c r="E66" s="8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7"/>
    </row>
    <row r="67" customHeight="1" spans="2:24">
      <c r="B67" s="4" t="s">
        <v>379</v>
      </c>
      <c r="C67" s="8"/>
      <c r="D67" s="8"/>
      <c r="E67" s="8"/>
      <c r="F67" s="12" t="s">
        <v>380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7"/>
    </row>
    <row r="68" customHeight="1" spans="2:24">
      <c r="B68" s="4"/>
      <c r="C68" s="8"/>
      <c r="D68" s="8"/>
      <c r="E68" s="8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7"/>
    </row>
    <row r="69" customHeight="1" spans="2:24">
      <c r="B69" s="4"/>
      <c r="C69" s="8"/>
      <c r="D69" s="8"/>
      <c r="E69" s="8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7"/>
    </row>
    <row r="70" customHeight="1" spans="2:24">
      <c r="B70" s="4" t="s">
        <v>381</v>
      </c>
      <c r="C70" s="8"/>
      <c r="D70" s="8"/>
      <c r="E70" s="8"/>
      <c r="F70" s="12" t="s">
        <v>382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7"/>
    </row>
    <row r="71" customHeight="1" spans="2:24">
      <c r="B71" s="4"/>
      <c r="C71" s="8"/>
      <c r="D71" s="8"/>
      <c r="E71" s="8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7"/>
    </row>
    <row r="72" customHeight="1" spans="2:24">
      <c r="B72" s="4"/>
      <c r="C72" s="8"/>
      <c r="D72" s="8"/>
      <c r="E72" s="8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7"/>
    </row>
    <row r="73" customHeight="1" spans="2:24">
      <c r="B73" s="4"/>
      <c r="C73" s="8"/>
      <c r="D73" s="8"/>
      <c r="E73" s="8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7"/>
    </row>
    <row r="74" customHeight="1" spans="2:24">
      <c r="B74" s="4"/>
      <c r="C74" s="8"/>
      <c r="D74" s="8"/>
      <c r="E74" s="8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7"/>
    </row>
    <row r="75" customHeight="1" spans="2:24">
      <c r="B75" s="4"/>
      <c r="C75" s="8"/>
      <c r="D75" s="8"/>
      <c r="E75" s="8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7"/>
    </row>
    <row r="76" customHeight="1" spans="2:24">
      <c r="B76" s="4"/>
      <c r="C76" s="8"/>
      <c r="D76" s="8"/>
      <c r="E76" s="8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7"/>
    </row>
    <row r="77" customHeight="1" spans="2:24">
      <c r="B77" s="4"/>
      <c r="C77" s="8"/>
      <c r="D77" s="8"/>
      <c r="E77" s="8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7"/>
    </row>
    <row r="78" customHeight="1" spans="2:24">
      <c r="B78" s="4"/>
      <c r="C78" s="8"/>
      <c r="D78" s="8"/>
      <c r="E78" s="8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7"/>
    </row>
    <row r="79" customHeight="1" spans="2:24">
      <c r="B79" s="4"/>
      <c r="C79" s="8"/>
      <c r="D79" s="8"/>
      <c r="E79" s="8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7"/>
    </row>
    <row r="80" customHeight="1" spans="2:24">
      <c r="B80" s="4"/>
      <c r="C80" s="8"/>
      <c r="D80" s="8"/>
      <c r="E80" s="8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7"/>
    </row>
    <row r="81" customHeight="1" spans="2:24">
      <c r="B81" s="4"/>
      <c r="C81" s="8"/>
      <c r="D81" s="8"/>
      <c r="E81" s="8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7"/>
    </row>
    <row r="82" customHeight="1" spans="2:24">
      <c r="B82" s="4"/>
      <c r="C82" s="8"/>
      <c r="D82" s="8"/>
      <c r="E82" s="8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7"/>
    </row>
    <row r="83" customHeight="1" spans="2:24">
      <c r="B83" s="4"/>
      <c r="C83" s="8"/>
      <c r="D83" s="8"/>
      <c r="E83" s="8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7"/>
    </row>
    <row r="84" customHeight="1" spans="2:24">
      <c r="B84" s="4"/>
      <c r="C84" s="8"/>
      <c r="D84" s="8"/>
      <c r="E84" s="8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7"/>
    </row>
    <row r="85" customHeight="1" spans="2:24">
      <c r="B85" s="4"/>
      <c r="C85" s="8"/>
      <c r="D85" s="8"/>
      <c r="E85" s="8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7"/>
    </row>
    <row r="86" customHeight="1" spans="2:24">
      <c r="B86" s="4"/>
      <c r="C86" s="8"/>
      <c r="D86" s="8"/>
      <c r="E86" s="8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7"/>
    </row>
    <row r="87" customHeight="1" spans="2:24">
      <c r="B87" s="13"/>
      <c r="C87" s="11"/>
      <c r="D87" s="11"/>
      <c r="E87" s="11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8"/>
    </row>
  </sheetData>
  <mergeCells count="97">
    <mergeCell ref="B2:X2"/>
    <mergeCell ref="B3:C3"/>
    <mergeCell ref="D3:V3"/>
    <mergeCell ref="W3:X3"/>
    <mergeCell ref="B23:X23"/>
    <mergeCell ref="Z23:AE23"/>
    <mergeCell ref="B24:C24"/>
    <mergeCell ref="D24:E24"/>
    <mergeCell ref="F24:X24"/>
    <mergeCell ref="B56:X56"/>
    <mergeCell ref="B57:C57"/>
    <mergeCell ref="D57:E57"/>
    <mergeCell ref="F57:X57"/>
    <mergeCell ref="B4:C6"/>
    <mergeCell ref="D4:V6"/>
    <mergeCell ref="B7:C9"/>
    <mergeCell ref="B10:C12"/>
    <mergeCell ref="B13:C15"/>
    <mergeCell ref="B16:C18"/>
    <mergeCell ref="D7:V9"/>
    <mergeCell ref="D10:V12"/>
    <mergeCell ref="D13:V15"/>
    <mergeCell ref="D16:V18"/>
    <mergeCell ref="B19:C21"/>
    <mergeCell ref="W4:X6"/>
    <mergeCell ref="W7:X9"/>
    <mergeCell ref="W10:X12"/>
    <mergeCell ref="W13:X15"/>
    <mergeCell ref="W16:X18"/>
    <mergeCell ref="D19:X21"/>
    <mergeCell ref="B28:C30"/>
    <mergeCell ref="D28:E30"/>
    <mergeCell ref="B31:C33"/>
    <mergeCell ref="D31:E33"/>
    <mergeCell ref="B34:C36"/>
    <mergeCell ref="D34:E36"/>
    <mergeCell ref="B37:C39"/>
    <mergeCell ref="D37:E39"/>
    <mergeCell ref="B40:C42"/>
    <mergeCell ref="D40:E42"/>
    <mergeCell ref="B43:C45"/>
    <mergeCell ref="D43:E45"/>
    <mergeCell ref="B46:C48"/>
    <mergeCell ref="D46:E48"/>
    <mergeCell ref="B49:C51"/>
    <mergeCell ref="D49:E51"/>
    <mergeCell ref="B52:C54"/>
    <mergeCell ref="D52:E54"/>
    <mergeCell ref="F28:X30"/>
    <mergeCell ref="F31:X33"/>
    <mergeCell ref="F34:X36"/>
    <mergeCell ref="F37:X39"/>
    <mergeCell ref="F40:X42"/>
    <mergeCell ref="F43:X45"/>
    <mergeCell ref="F46:X48"/>
    <mergeCell ref="F49:X51"/>
    <mergeCell ref="F52:X54"/>
    <mergeCell ref="B25:C27"/>
    <mergeCell ref="D25:E27"/>
    <mergeCell ref="F25:X27"/>
    <mergeCell ref="Z4:AE9"/>
    <mergeCell ref="Z24:AB26"/>
    <mergeCell ref="AC24:AE26"/>
    <mergeCell ref="Z27:AB29"/>
    <mergeCell ref="AC27:AE29"/>
    <mergeCell ref="Z30:AB32"/>
    <mergeCell ref="AC30:AE32"/>
    <mergeCell ref="B58:C60"/>
    <mergeCell ref="D58:E60"/>
    <mergeCell ref="F58:X60"/>
    <mergeCell ref="B61:C63"/>
    <mergeCell ref="D61:E63"/>
    <mergeCell ref="F61:X63"/>
    <mergeCell ref="B64:C66"/>
    <mergeCell ref="D64:E66"/>
    <mergeCell ref="F64:X66"/>
    <mergeCell ref="B67:C69"/>
    <mergeCell ref="D67:E69"/>
    <mergeCell ref="F67:X69"/>
    <mergeCell ref="B70:C72"/>
    <mergeCell ref="D70:E72"/>
    <mergeCell ref="F70:X72"/>
    <mergeCell ref="B73:C75"/>
    <mergeCell ref="D73:E75"/>
    <mergeCell ref="F73:X75"/>
    <mergeCell ref="B76:C78"/>
    <mergeCell ref="D76:E78"/>
    <mergeCell ref="F76:X78"/>
    <mergeCell ref="B79:C81"/>
    <mergeCell ref="D79:E81"/>
    <mergeCell ref="F79:X81"/>
    <mergeCell ref="B82:C84"/>
    <mergeCell ref="D82:E84"/>
    <mergeCell ref="F82:X84"/>
    <mergeCell ref="B85:C87"/>
    <mergeCell ref="D85:E87"/>
    <mergeCell ref="F85:X8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9" master="" otherUserPermission="visible"/>
  <rangeList sheetStid="13" master="" otherUserPermission="visible"/>
  <rangeList sheetStid="7" master="" otherUserPermission="visible"/>
  <rangeList sheetStid="16" master="" otherUserPermission="visible"/>
  <rangeList sheetStid="8" master="" otherUserPermission="visible"/>
  <rangeList sheetStid="4" master="" otherUserPermission="visible"/>
  <rangeList sheetStid="6" master="" otherUserPermission="visible"/>
  <rangeList sheetStid="15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人物卡</vt:lpstr>
      <vt:lpstr>专长和其他文本信息</vt:lpstr>
      <vt:lpstr>意志力与能量池</vt:lpstr>
      <vt:lpstr>攻击预设</vt:lpstr>
      <vt:lpstr>常用检定</vt:lpstr>
      <vt:lpstr>装备位</vt:lpstr>
      <vt:lpstr>购买记录</vt:lpstr>
      <vt:lpstr>成长记录</vt:lpstr>
      <vt:lpstr>主动技能与书签整备</vt:lpstr>
      <vt:lpstr>天赋、缺陷和怪癖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14434</dc:creator>
  <cp:lastModifiedBy>Administrator</cp:lastModifiedBy>
  <dcterms:created xsi:type="dcterms:W3CDTF">2015-06-05T18:19:00Z</dcterms:created>
  <dcterms:modified xsi:type="dcterms:W3CDTF">2025-11-27T13:49:51Z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376237FBD9584C1DBA3432A9AD726C56</vt:lpwstr>
  </property>
</Properties>
</file>